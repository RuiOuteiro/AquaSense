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36" documentId="13_ncr:1_{8C1747EC-EC20-4276-B73C-119DA1D3E969}" xr6:coauthVersionLast="47" xr6:coauthVersionMax="47" xr10:uidLastSave="{B45F7CCC-19C1-40B0-88A0-860DF4EE5C3F}"/>
  <bookViews>
    <workbookView xWindow="3910" yWindow="2260" windowWidth="32100" windowHeight="15990" tabRatio="415" xr2:uid="{00000000-000D-0000-FFFF-FFFF00000000}"/>
  </bookViews>
  <sheets>
    <sheet name="Diagrama" sheetId="17" r:id="rId1"/>
  </sheets>
  <definedNames>
    <definedName name="_xlnm.Print_Titles" localSheetId="0">Diagrama!$6:$9</definedName>
    <definedName name="Project_Start" localSheetId="0">Diagrama!$C$6</definedName>
    <definedName name="Project_Start">#REF!</definedName>
    <definedName name="Scrolling_Increment" localSheetId="0">Diagrama!$C$7</definedName>
    <definedName name="Scrolling_Increment">#REF!</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17" l="1"/>
  <c r="D26" i="17"/>
  <c r="E10" i="17"/>
  <c r="E11" i="17"/>
  <c r="E12" i="17"/>
  <c r="E14" i="17"/>
  <c r="E15" i="17"/>
  <c r="E18" i="17"/>
  <c r="E19" i="17"/>
  <c r="E21" i="17"/>
  <c r="E22" i="17"/>
  <c r="E23" i="17"/>
  <c r="E24" i="17"/>
  <c r="E25" i="17"/>
  <c r="D17" i="17"/>
  <c r="E17" i="17" s="1"/>
  <c r="D16" i="17"/>
  <c r="E16" i="17" s="1"/>
  <c r="D13" i="17"/>
  <c r="E13" i="17" s="1"/>
  <c r="H7" i="17"/>
  <c r="H22" i="17" s="1"/>
  <c r="H23" i="17" l="1"/>
  <c r="H26" i="17"/>
  <c r="H25" i="17"/>
  <c r="H24" i="17"/>
  <c r="H12" i="17"/>
  <c r="H19" i="17"/>
  <c r="H16" i="17"/>
  <c r="H20" i="17"/>
  <c r="H17" i="17"/>
  <c r="H14" i="17"/>
  <c r="H21" i="17"/>
  <c r="H18" i="17"/>
  <c r="H13" i="17"/>
  <c r="H15" i="17"/>
  <c r="E26" i="17"/>
  <c r="I7" i="17" l="1"/>
  <c r="I23" i="17" s="1"/>
  <c r="H9" i="17"/>
  <c r="H11" i="17"/>
  <c r="H6" i="17"/>
  <c r="I24" i="17" l="1"/>
  <c r="I26" i="17"/>
  <c r="I25" i="17"/>
  <c r="I22" i="17"/>
  <c r="I12" i="17"/>
  <c r="I19" i="17"/>
  <c r="I16" i="17"/>
  <c r="I13" i="17"/>
  <c r="I17" i="17"/>
  <c r="I14" i="17"/>
  <c r="I21" i="17"/>
  <c r="I15" i="17"/>
  <c r="I20" i="17"/>
  <c r="I18" i="17"/>
  <c r="J7" i="17"/>
  <c r="J23" i="17" s="1"/>
  <c r="I9" i="17"/>
  <c r="I11" i="17"/>
  <c r="J24" i="17" l="1"/>
  <c r="J25" i="17"/>
  <c r="J26" i="17"/>
  <c r="J15" i="17"/>
  <c r="J22" i="17"/>
  <c r="J12" i="17"/>
  <c r="J19" i="17"/>
  <c r="J13" i="17"/>
  <c r="J20" i="17"/>
  <c r="J17" i="17"/>
  <c r="J14" i="17"/>
  <c r="J21" i="17"/>
  <c r="J16" i="17"/>
  <c r="J18" i="17"/>
  <c r="J9" i="17"/>
  <c r="J11" i="17"/>
  <c r="K7" i="17"/>
  <c r="K23" i="17" s="1"/>
  <c r="K25" i="17" l="1"/>
  <c r="K24" i="17"/>
  <c r="K26" i="17"/>
  <c r="K15" i="17"/>
  <c r="K22" i="17"/>
  <c r="K12" i="17"/>
  <c r="K19" i="17"/>
  <c r="K13" i="17"/>
  <c r="K20" i="17"/>
  <c r="K17" i="17"/>
  <c r="K14" i="17"/>
  <c r="K21" i="17"/>
  <c r="K16" i="17"/>
  <c r="K18" i="17"/>
  <c r="L7" i="17"/>
  <c r="L23" i="17" s="1"/>
  <c r="K9" i="17"/>
  <c r="K11" i="17"/>
  <c r="L24" i="17" l="1"/>
  <c r="L25" i="17"/>
  <c r="L26" i="17"/>
  <c r="L19" i="17"/>
  <c r="L15" i="17"/>
  <c r="L22" i="17"/>
  <c r="L12" i="17"/>
  <c r="L16" i="17"/>
  <c r="L13" i="17"/>
  <c r="L20" i="17"/>
  <c r="L17" i="17"/>
  <c r="L14" i="17"/>
  <c r="L21" i="17"/>
  <c r="L18" i="17"/>
  <c r="L9" i="17"/>
  <c r="M7" i="17"/>
  <c r="M23" i="17" s="1"/>
  <c r="L11" i="17"/>
  <c r="M24" i="17" l="1"/>
  <c r="M25" i="17"/>
  <c r="M26" i="17"/>
  <c r="M18" i="17"/>
  <c r="M15" i="17"/>
  <c r="M22" i="17"/>
  <c r="M12" i="17"/>
  <c r="M16" i="17"/>
  <c r="M13" i="17"/>
  <c r="M20" i="17"/>
  <c r="M17" i="17"/>
  <c r="M14" i="17"/>
  <c r="M21" i="17"/>
  <c r="M19" i="17"/>
  <c r="M11" i="17"/>
  <c r="N7" i="17"/>
  <c r="N23" i="17" s="1"/>
  <c r="M9" i="17"/>
  <c r="N24" i="17" l="1"/>
  <c r="N26" i="17"/>
  <c r="N25" i="17"/>
  <c r="N18" i="17"/>
  <c r="N15" i="17"/>
  <c r="N22" i="17"/>
  <c r="N16" i="17"/>
  <c r="N13" i="17"/>
  <c r="N20" i="17"/>
  <c r="N17" i="17"/>
  <c r="N12" i="17"/>
  <c r="N14" i="17"/>
  <c r="N21" i="17"/>
  <c r="N19" i="17"/>
  <c r="N9" i="17"/>
  <c r="N11" i="17"/>
  <c r="O7" i="17"/>
  <c r="O23" i="17" s="1"/>
  <c r="O24" i="17" l="1"/>
  <c r="O25" i="17"/>
  <c r="O26" i="17"/>
  <c r="O18" i="17"/>
  <c r="O22" i="17"/>
  <c r="O15" i="17"/>
  <c r="O19" i="17"/>
  <c r="O16" i="17"/>
  <c r="O13" i="17"/>
  <c r="O20" i="17"/>
  <c r="O17" i="17"/>
  <c r="O12" i="17"/>
  <c r="O14" i="17"/>
  <c r="O21" i="17"/>
  <c r="O6" i="17"/>
  <c r="O9" i="17"/>
  <c r="O11" i="17"/>
  <c r="P7" i="17"/>
  <c r="P23" i="17" s="1"/>
  <c r="P26" i="17" l="1"/>
  <c r="P24" i="17"/>
  <c r="P25" i="17"/>
  <c r="P21" i="17"/>
  <c r="P18" i="17"/>
  <c r="P15" i="17"/>
  <c r="P12" i="17"/>
  <c r="P16" i="17"/>
  <c r="P13" i="17"/>
  <c r="P20" i="17"/>
  <c r="P19" i="17"/>
  <c r="P14" i="17"/>
  <c r="P17" i="17"/>
  <c r="P22" i="17"/>
  <c r="P9" i="17"/>
  <c r="P11" i="17"/>
  <c r="Q7" i="17"/>
  <c r="Q23" i="17" s="1"/>
  <c r="Q24" i="17" l="1"/>
  <c r="Q26" i="17"/>
  <c r="Q25" i="17"/>
  <c r="Q14" i="17"/>
  <c r="Q21" i="17"/>
  <c r="Q18" i="17"/>
  <c r="Q12" i="17"/>
  <c r="Q19" i="17"/>
  <c r="Q16" i="17"/>
  <c r="Q13" i="17"/>
  <c r="Q20" i="17"/>
  <c r="Q15" i="17"/>
  <c r="Q17" i="17"/>
  <c r="Q22" i="17"/>
  <c r="R7" i="17"/>
  <c r="R23" i="17" s="1"/>
  <c r="Q11" i="17"/>
  <c r="Q9" i="17"/>
  <c r="R26" i="17" l="1"/>
  <c r="R25" i="17"/>
  <c r="R24" i="17"/>
  <c r="R14" i="17"/>
  <c r="R21" i="17"/>
  <c r="R18" i="17"/>
  <c r="R22" i="17"/>
  <c r="R12" i="17"/>
  <c r="R19" i="17"/>
  <c r="R16" i="17"/>
  <c r="R13" i="17"/>
  <c r="R20" i="17"/>
  <c r="R15" i="17"/>
  <c r="R17" i="17"/>
  <c r="S7" i="17"/>
  <c r="S23" i="17" s="1"/>
  <c r="R9" i="17"/>
  <c r="R11" i="17"/>
  <c r="S26" i="17" l="1"/>
  <c r="S24" i="17"/>
  <c r="S25" i="17"/>
  <c r="S18" i="17"/>
  <c r="S14" i="17"/>
  <c r="S21" i="17"/>
  <c r="S15" i="17"/>
  <c r="S12" i="17"/>
  <c r="S19" i="17"/>
  <c r="S16" i="17"/>
  <c r="S13" i="17"/>
  <c r="S20" i="17"/>
  <c r="S22" i="17"/>
  <c r="S17" i="17"/>
  <c r="T7" i="17"/>
  <c r="T23" i="17" s="1"/>
  <c r="S9" i="17"/>
  <c r="S11" i="17"/>
  <c r="T26" i="17" l="1"/>
  <c r="T24" i="17"/>
  <c r="T25" i="17"/>
  <c r="T17" i="17"/>
  <c r="T14" i="17"/>
  <c r="T21" i="17"/>
  <c r="T15" i="17"/>
  <c r="T22" i="17"/>
  <c r="T12" i="17"/>
  <c r="T19" i="17"/>
  <c r="T16" i="17"/>
  <c r="T20" i="17"/>
  <c r="T13" i="17"/>
  <c r="T18" i="17"/>
  <c r="T11" i="17"/>
  <c r="U7" i="17"/>
  <c r="U23" i="17" s="1"/>
  <c r="T9" i="17"/>
  <c r="U26" i="17" l="1"/>
  <c r="U24" i="17"/>
  <c r="U25" i="17"/>
  <c r="U17" i="17"/>
  <c r="U14" i="17"/>
  <c r="U21" i="17"/>
  <c r="U15" i="17"/>
  <c r="U22" i="17"/>
  <c r="U12" i="17"/>
  <c r="U19" i="17"/>
  <c r="U16" i="17"/>
  <c r="U13" i="17"/>
  <c r="U20" i="17"/>
  <c r="U18" i="17"/>
  <c r="U11" i="17"/>
  <c r="V7" i="17"/>
  <c r="V23" i="17" s="1"/>
  <c r="U9" i="17"/>
  <c r="V26" i="17" l="1"/>
  <c r="V25" i="17"/>
  <c r="V24" i="17"/>
  <c r="V17" i="17"/>
  <c r="V21" i="17"/>
  <c r="V14" i="17"/>
  <c r="V18" i="17"/>
  <c r="V15" i="17"/>
  <c r="V22" i="17"/>
  <c r="V12" i="17"/>
  <c r="V19" i="17"/>
  <c r="V16" i="17"/>
  <c r="V13" i="17"/>
  <c r="V20" i="17"/>
  <c r="W7" i="17"/>
  <c r="W23" i="17" s="1"/>
  <c r="V11" i="17"/>
  <c r="V6" i="17"/>
  <c r="V9" i="17"/>
  <c r="W25" i="17" l="1"/>
  <c r="W26" i="17"/>
  <c r="W24" i="17"/>
  <c r="W20" i="17"/>
  <c r="W14" i="17"/>
  <c r="W17" i="17"/>
  <c r="W15" i="17"/>
  <c r="W22" i="17"/>
  <c r="W12" i="17"/>
  <c r="W19" i="17"/>
  <c r="W13" i="17"/>
  <c r="W16" i="17"/>
  <c r="W21" i="17"/>
  <c r="W18" i="17"/>
  <c r="W11" i="17"/>
  <c r="X7" i="17"/>
  <c r="X23" i="17" s="1"/>
  <c r="W9" i="17"/>
  <c r="X26" i="17" l="1"/>
  <c r="X25" i="17"/>
  <c r="X24" i="17"/>
  <c r="X13" i="17"/>
  <c r="X20" i="17"/>
  <c r="X17" i="17"/>
  <c r="X18" i="17"/>
  <c r="X15" i="17"/>
  <c r="X22" i="17"/>
  <c r="X12" i="17"/>
  <c r="X19" i="17"/>
  <c r="X14" i="17"/>
  <c r="X16" i="17"/>
  <c r="X21" i="17"/>
  <c r="X9" i="17"/>
  <c r="X11" i="17"/>
  <c r="Y7" i="17"/>
  <c r="Y23" i="17" s="1"/>
  <c r="Y25" i="17" l="1"/>
  <c r="Y26" i="17"/>
  <c r="Y24" i="17"/>
  <c r="Y13" i="17"/>
  <c r="Y20" i="17"/>
  <c r="Y17" i="17"/>
  <c r="Y21" i="17"/>
  <c r="Y22" i="17"/>
  <c r="Y18" i="17"/>
  <c r="Y15" i="17"/>
  <c r="Y12" i="17"/>
  <c r="Y19" i="17"/>
  <c r="Y14" i="17"/>
  <c r="Y16" i="17"/>
  <c r="Y9" i="17"/>
  <c r="Y11" i="17"/>
  <c r="Z7" i="17"/>
  <c r="Z23" i="17" s="1"/>
  <c r="Z25" i="17" l="1"/>
  <c r="Z26" i="17"/>
  <c r="Z24" i="17"/>
  <c r="Z17" i="17"/>
  <c r="Z13" i="17"/>
  <c r="Z20" i="17"/>
  <c r="Z14" i="17"/>
  <c r="Z18" i="17"/>
  <c r="Z15" i="17"/>
  <c r="Z22" i="17"/>
  <c r="Z12" i="17"/>
  <c r="Z19" i="17"/>
  <c r="Z16" i="17"/>
  <c r="Z21" i="17"/>
  <c r="Z11" i="17"/>
  <c r="Z9" i="17"/>
  <c r="AA7" i="17"/>
  <c r="AA23" i="17" s="1"/>
  <c r="AA25" i="17" l="1"/>
  <c r="AA24" i="17"/>
  <c r="AA26" i="17"/>
  <c r="AA16" i="17"/>
  <c r="AA13" i="17"/>
  <c r="AA20" i="17"/>
  <c r="AA14" i="17"/>
  <c r="AA21" i="17"/>
  <c r="AA18" i="17"/>
  <c r="AA15" i="17"/>
  <c r="AA22" i="17"/>
  <c r="AA12" i="17"/>
  <c r="AA19" i="17"/>
  <c r="AA17" i="17"/>
  <c r="AA11" i="17"/>
  <c r="AB7" i="17"/>
  <c r="AB23" i="17" s="1"/>
  <c r="AA9" i="17"/>
  <c r="AB26" i="17" l="1"/>
  <c r="AB25" i="17"/>
  <c r="AB24" i="17"/>
  <c r="AB16" i="17"/>
  <c r="AB13" i="17"/>
  <c r="AB20" i="17"/>
  <c r="AB14" i="17"/>
  <c r="AB21" i="17"/>
  <c r="AB18" i="17"/>
  <c r="AB15" i="17"/>
  <c r="AB22" i="17"/>
  <c r="AB12" i="17"/>
  <c r="AB19" i="17"/>
  <c r="AB17" i="17"/>
  <c r="AC7" i="17"/>
  <c r="AC23" i="17" s="1"/>
  <c r="AB9" i="17"/>
  <c r="AB11" i="17"/>
  <c r="AC25" i="17" l="1"/>
  <c r="AC26" i="17"/>
  <c r="AC24" i="17"/>
  <c r="AC16" i="17"/>
  <c r="AC20" i="17"/>
  <c r="AC13" i="17"/>
  <c r="AC17" i="17"/>
  <c r="AC14" i="17"/>
  <c r="AC21" i="17"/>
  <c r="AC18" i="17"/>
  <c r="AC15" i="17"/>
  <c r="AC19" i="17"/>
  <c r="AC12" i="17"/>
  <c r="AC22" i="17"/>
  <c r="AC11" i="17"/>
  <c r="AC9" i="17"/>
  <c r="AC6" i="17"/>
  <c r="AD7" i="17"/>
  <c r="AD23" i="17" s="1"/>
  <c r="AD26" i="17" l="1"/>
  <c r="AD25" i="17"/>
  <c r="AD24" i="17"/>
  <c r="AD19" i="17"/>
  <c r="AD13" i="17"/>
  <c r="AD16" i="17"/>
  <c r="AD14" i="17"/>
  <c r="AD21" i="17"/>
  <c r="AD18" i="17"/>
  <c r="AD12" i="17"/>
  <c r="AD15" i="17"/>
  <c r="AD20" i="17"/>
  <c r="AD22" i="17"/>
  <c r="AD17" i="17"/>
  <c r="AD9" i="17"/>
  <c r="AD11" i="17"/>
  <c r="AE7" i="17"/>
  <c r="AE23" i="17" s="1"/>
  <c r="AE25" i="17" l="1"/>
  <c r="AE26" i="17"/>
  <c r="AE24" i="17"/>
  <c r="AE12" i="17"/>
  <c r="AE19" i="17"/>
  <c r="AE16" i="17"/>
  <c r="AE17" i="17"/>
  <c r="AE14" i="17"/>
  <c r="AE21" i="17"/>
  <c r="AE18" i="17"/>
  <c r="AE22" i="17"/>
  <c r="AE13" i="17"/>
  <c r="AE15" i="17"/>
  <c r="AE20" i="17"/>
  <c r="AF7" i="17"/>
  <c r="AF23" i="17" s="1"/>
  <c r="AE9" i="17"/>
  <c r="AE11" i="17"/>
  <c r="AF24" i="17" l="1"/>
  <c r="AF26" i="17"/>
  <c r="AF25" i="17"/>
  <c r="AF12" i="17"/>
  <c r="AF19" i="17"/>
  <c r="AF16" i="17"/>
  <c r="AF20" i="17"/>
  <c r="AF17" i="17"/>
  <c r="AF14" i="17"/>
  <c r="AF21" i="17"/>
  <c r="AF18" i="17"/>
  <c r="AF13" i="17"/>
  <c r="AF15" i="17"/>
  <c r="AF22" i="17"/>
  <c r="AG7" i="17"/>
  <c r="AG23" i="17" s="1"/>
  <c r="AF11" i="17"/>
  <c r="AF9" i="17"/>
  <c r="AG24" i="17" l="1"/>
  <c r="AG25" i="17"/>
  <c r="AG26" i="17"/>
  <c r="AG22" i="17"/>
  <c r="AG12" i="17"/>
  <c r="AG19" i="17"/>
  <c r="AG16" i="17"/>
  <c r="AG13" i="17"/>
  <c r="AG17" i="17"/>
  <c r="AG14" i="17"/>
  <c r="AG21" i="17"/>
  <c r="AG20" i="17"/>
  <c r="AG15" i="17"/>
  <c r="AG18" i="17"/>
  <c r="AH7" i="17"/>
  <c r="AH23" i="17" s="1"/>
  <c r="AG11" i="17"/>
  <c r="AG9" i="17"/>
  <c r="AH24" i="17" l="1"/>
  <c r="AH25" i="17"/>
  <c r="AH26" i="17"/>
  <c r="AH15" i="17"/>
  <c r="AH22" i="17"/>
  <c r="AH12" i="17"/>
  <c r="AH19" i="17"/>
  <c r="AH13" i="17"/>
  <c r="AH20" i="17"/>
  <c r="AH17" i="17"/>
  <c r="AH14" i="17"/>
  <c r="AH21" i="17"/>
  <c r="AH18" i="17"/>
  <c r="AH16" i="17"/>
  <c r="AI7" i="17"/>
  <c r="AI23" i="17" s="1"/>
  <c r="AH9" i="17"/>
  <c r="AH11" i="17"/>
  <c r="AI24" i="17" l="1"/>
  <c r="AI25" i="17"/>
  <c r="AI26" i="17"/>
  <c r="AI15" i="17"/>
  <c r="AI22" i="17"/>
  <c r="AI12" i="17"/>
  <c r="AI19" i="17"/>
  <c r="AI13" i="17"/>
  <c r="AI20" i="17"/>
  <c r="AI17" i="17"/>
  <c r="AI14" i="17"/>
  <c r="AI21" i="17"/>
  <c r="AI16" i="17"/>
  <c r="AI18" i="17"/>
  <c r="AJ7" i="17"/>
  <c r="AJ23" i="17" s="1"/>
  <c r="AI11" i="17"/>
  <c r="AI9" i="17"/>
  <c r="AJ24" i="17" l="1"/>
  <c r="AJ26" i="17"/>
  <c r="AJ25" i="17"/>
  <c r="AK7" i="17"/>
  <c r="AK23" i="17" s="1"/>
  <c r="AJ9" i="17"/>
  <c r="AJ11" i="17"/>
  <c r="AJ6" i="17"/>
  <c r="AJ15" i="17"/>
  <c r="AJ19" i="17"/>
  <c r="AJ22" i="17"/>
  <c r="AJ12" i="17"/>
  <c r="AJ16" i="17"/>
  <c r="AJ13" i="17"/>
  <c r="AJ20" i="17"/>
  <c r="AJ17" i="17"/>
  <c r="AJ14" i="17"/>
  <c r="AJ18" i="17"/>
  <c r="AJ21" i="17"/>
  <c r="AL7" i="17"/>
  <c r="AL23" i="17" s="1"/>
  <c r="AK11" i="17"/>
  <c r="AK9" i="17"/>
  <c r="AK26" i="17" l="1"/>
  <c r="AK24" i="17"/>
  <c r="AK25" i="17"/>
  <c r="AL26" i="17"/>
  <c r="AL24" i="17"/>
  <c r="AL25" i="17"/>
  <c r="AL18" i="17"/>
  <c r="AL15" i="17"/>
  <c r="AL22" i="17"/>
  <c r="AL16" i="17"/>
  <c r="AL13" i="17"/>
  <c r="AL20" i="17"/>
  <c r="AL17" i="17"/>
  <c r="AL19" i="17"/>
  <c r="AL12" i="17"/>
  <c r="AL14" i="17"/>
  <c r="AL21" i="17"/>
  <c r="AK18" i="17"/>
  <c r="AK15" i="17"/>
  <c r="AK22" i="17"/>
  <c r="AK16" i="17"/>
  <c r="AK13" i="17"/>
  <c r="AK20" i="17"/>
  <c r="AK17" i="17"/>
  <c r="AK19" i="17"/>
  <c r="AK12" i="17"/>
  <c r="AK14" i="17"/>
  <c r="AK21" i="17"/>
  <c r="AM7" i="17"/>
  <c r="AM23" i="17" s="1"/>
  <c r="AL11" i="17"/>
  <c r="AL9" i="17"/>
  <c r="AM25" i="17" l="1"/>
  <c r="AM24" i="17"/>
  <c r="AM26" i="17"/>
  <c r="AM18" i="17"/>
  <c r="AM22" i="17"/>
  <c r="AM15" i="17"/>
  <c r="AM19" i="17"/>
  <c r="AM16" i="17"/>
  <c r="AM13" i="17"/>
  <c r="AM20" i="17"/>
  <c r="AM17" i="17"/>
  <c r="AM12" i="17"/>
  <c r="AM14" i="17"/>
  <c r="AM21" i="17"/>
  <c r="AN7" i="17"/>
  <c r="AN23" i="17" s="1"/>
  <c r="AM11" i="17"/>
  <c r="AM9" i="17"/>
  <c r="AN24" i="17" l="1"/>
  <c r="AN25" i="17"/>
  <c r="AN26" i="17"/>
  <c r="AN21" i="17"/>
  <c r="AN18" i="17"/>
  <c r="AN15" i="17"/>
  <c r="AN12" i="17"/>
  <c r="AN16" i="17"/>
  <c r="AN13" i="17"/>
  <c r="AN20" i="17"/>
  <c r="AN22" i="17"/>
  <c r="AN19" i="17"/>
  <c r="AN17" i="17"/>
  <c r="AN14" i="17"/>
  <c r="AN11" i="17"/>
  <c r="AN9" i="17"/>
  <c r="AO7" i="17"/>
  <c r="AO23" i="17" s="1"/>
  <c r="AO26" i="17" l="1"/>
  <c r="AO24" i="17"/>
  <c r="AO25" i="17"/>
  <c r="AO14" i="17"/>
  <c r="AO21" i="17"/>
  <c r="AO18" i="17"/>
  <c r="AO12" i="17"/>
  <c r="AO19" i="17"/>
  <c r="AO16" i="17"/>
  <c r="AO13" i="17"/>
  <c r="AO20" i="17"/>
  <c r="AO22" i="17"/>
  <c r="AO15" i="17"/>
  <c r="AO17" i="17"/>
  <c r="AP7" i="17"/>
  <c r="AP23" i="17" s="1"/>
  <c r="AO11" i="17"/>
  <c r="AO9" i="17"/>
  <c r="AP26" i="17" l="1"/>
  <c r="AP24" i="17"/>
  <c r="AP25" i="17"/>
  <c r="AP14" i="17"/>
  <c r="AP21" i="17"/>
  <c r="AP18" i="17"/>
  <c r="AP22" i="17"/>
  <c r="AP12" i="17"/>
  <c r="AP19" i="17"/>
  <c r="AP16" i="17"/>
  <c r="AP13" i="17"/>
  <c r="AP20" i="17"/>
  <c r="AP15" i="17"/>
  <c r="AP17" i="17"/>
  <c r="AQ7" i="17"/>
  <c r="AQ23" i="17" s="1"/>
  <c r="AP11" i="17"/>
  <c r="AP9" i="17"/>
  <c r="AQ26" i="17" l="1"/>
  <c r="AQ24" i="17"/>
  <c r="AQ25" i="17"/>
  <c r="AQ14" i="17"/>
  <c r="AQ18" i="17"/>
  <c r="AQ21" i="17"/>
  <c r="AQ15" i="17"/>
  <c r="AQ12" i="17"/>
  <c r="AQ19" i="17"/>
  <c r="AQ16" i="17"/>
  <c r="AQ13" i="17"/>
  <c r="AQ17" i="17"/>
  <c r="AQ22" i="17"/>
  <c r="AQ20" i="17"/>
  <c r="AR7" i="17"/>
  <c r="AR23" i="17" s="1"/>
  <c r="AQ11" i="17"/>
  <c r="AQ9" i="17"/>
  <c r="AQ6" i="17"/>
  <c r="AR26" i="17" l="1"/>
  <c r="AR24" i="17"/>
  <c r="AR25" i="17"/>
  <c r="AR17" i="17"/>
  <c r="AR14" i="17"/>
  <c r="AR21" i="17"/>
  <c r="AR15" i="17"/>
  <c r="AR22" i="17"/>
  <c r="AR12" i="17"/>
  <c r="AR19" i="17"/>
  <c r="AR16" i="17"/>
  <c r="AR18" i="17"/>
  <c r="AR13" i="17"/>
  <c r="AR20" i="17"/>
  <c r="AR11" i="17"/>
  <c r="AR9" i="17"/>
  <c r="AS7" i="17"/>
  <c r="AS23" i="17" s="1"/>
  <c r="AS26" i="17" l="1"/>
  <c r="AS24" i="17"/>
  <c r="AS25" i="17"/>
  <c r="AS17" i="17"/>
  <c r="AS14" i="17"/>
  <c r="AS21" i="17"/>
  <c r="AS15" i="17"/>
  <c r="AS22" i="17"/>
  <c r="AS12" i="17"/>
  <c r="AS19" i="17"/>
  <c r="AS16" i="17"/>
  <c r="AS18" i="17"/>
  <c r="AS13" i="17"/>
  <c r="AS20" i="17"/>
  <c r="AT7" i="17"/>
  <c r="AT23" i="17" s="1"/>
  <c r="AS9" i="17"/>
  <c r="AS11" i="17"/>
  <c r="AT26" i="17" l="1"/>
  <c r="AT24" i="17"/>
  <c r="AT25" i="17"/>
  <c r="AT17" i="17"/>
  <c r="AT21" i="17"/>
  <c r="AT14" i="17"/>
  <c r="AT18" i="17"/>
  <c r="AT15" i="17"/>
  <c r="AT22" i="17"/>
  <c r="AT12" i="17"/>
  <c r="AT19" i="17"/>
  <c r="AT16" i="17"/>
  <c r="AT13" i="17"/>
  <c r="AT20" i="17"/>
  <c r="AU7" i="17"/>
  <c r="AU23" i="17" s="1"/>
  <c r="AT11" i="17"/>
  <c r="AT9" i="17"/>
  <c r="AU25" i="17" l="1"/>
  <c r="AU26" i="17"/>
  <c r="AU24" i="17"/>
  <c r="AU20" i="17"/>
  <c r="AU17" i="17"/>
  <c r="AU14" i="17"/>
  <c r="AU15" i="17"/>
  <c r="AU22" i="17"/>
  <c r="AU12" i="17"/>
  <c r="AU19" i="17"/>
  <c r="AU18" i="17"/>
  <c r="AU13" i="17"/>
  <c r="AU16" i="17"/>
  <c r="AU21" i="17"/>
  <c r="AV7" i="17"/>
  <c r="AV23" i="17" s="1"/>
  <c r="AU11" i="17"/>
  <c r="AU9" i="17"/>
  <c r="AV25" i="17" l="1"/>
  <c r="AV26" i="17"/>
  <c r="AV24" i="17"/>
  <c r="AV13" i="17"/>
  <c r="AV20" i="17"/>
  <c r="AV17" i="17"/>
  <c r="AV18" i="17"/>
  <c r="AV15" i="17"/>
  <c r="AV22" i="17"/>
  <c r="AV12" i="17"/>
  <c r="AV19" i="17"/>
  <c r="AV14" i="17"/>
  <c r="AV21" i="17"/>
  <c r="AV16" i="17"/>
  <c r="AV11" i="17"/>
  <c r="AV9" i="17"/>
  <c r="AW7" i="17"/>
  <c r="AW23" i="17" s="1"/>
  <c r="AW25" i="17" l="1"/>
  <c r="AW24" i="17"/>
  <c r="AW26" i="17"/>
  <c r="AW13" i="17"/>
  <c r="AW20" i="17"/>
  <c r="AW17" i="17"/>
  <c r="AW21" i="17"/>
  <c r="AW18" i="17"/>
  <c r="AW15" i="17"/>
  <c r="AW22" i="17"/>
  <c r="AW12" i="17"/>
  <c r="AW19" i="17"/>
  <c r="AW16" i="17"/>
  <c r="AW14" i="17"/>
  <c r="AX7" i="17"/>
  <c r="AX23" i="17" s="1"/>
  <c r="AW9" i="17"/>
  <c r="AW11" i="17"/>
  <c r="AX25" i="17" l="1"/>
  <c r="AX26" i="17"/>
  <c r="AX24" i="17"/>
  <c r="AX13" i="17"/>
  <c r="AX17" i="17"/>
  <c r="AX20" i="17"/>
  <c r="AX14" i="17"/>
  <c r="AX18" i="17"/>
  <c r="AX15" i="17"/>
  <c r="AX22" i="17"/>
  <c r="AX12" i="17"/>
  <c r="AX19" i="17"/>
  <c r="AX16" i="17"/>
  <c r="AX21" i="17"/>
  <c r="AY7" i="17"/>
  <c r="AY23" i="17" s="1"/>
  <c r="AX11" i="17"/>
  <c r="AX9" i="17"/>
  <c r="AX6" i="17"/>
  <c r="AY25" i="17" l="1"/>
  <c r="AY26" i="17"/>
  <c r="AY24" i="17"/>
  <c r="AY16" i="17"/>
  <c r="AY13" i="17"/>
  <c r="AY20" i="17"/>
  <c r="AY14" i="17"/>
  <c r="AY21" i="17"/>
  <c r="AY18" i="17"/>
  <c r="AY15" i="17"/>
  <c r="AY22" i="17"/>
  <c r="AY17" i="17"/>
  <c r="AY12" i="17"/>
  <c r="AY19" i="17"/>
  <c r="AZ7" i="17"/>
  <c r="AZ23" i="17" s="1"/>
  <c r="AY11" i="17"/>
  <c r="AY9" i="17"/>
  <c r="AZ24" i="17" l="1"/>
  <c r="AZ25" i="17"/>
  <c r="AZ26" i="17"/>
  <c r="AZ16" i="17"/>
  <c r="AZ13" i="17"/>
  <c r="AZ20" i="17"/>
  <c r="AZ14" i="17"/>
  <c r="AZ21" i="17"/>
  <c r="AZ18" i="17"/>
  <c r="AZ15" i="17"/>
  <c r="AZ22" i="17"/>
  <c r="AZ12" i="17"/>
  <c r="AZ19" i="17"/>
  <c r="AZ17" i="17"/>
  <c r="AZ11" i="17"/>
  <c r="AZ9" i="17"/>
  <c r="BA7" i="17"/>
  <c r="BA23" i="17" s="1"/>
  <c r="BA25" i="17" l="1"/>
  <c r="BA26" i="17"/>
  <c r="BA24" i="17"/>
  <c r="BA16" i="17"/>
  <c r="BA13" i="17"/>
  <c r="BA20" i="17"/>
  <c r="BA17" i="17"/>
  <c r="BA14" i="17"/>
  <c r="BA21" i="17"/>
  <c r="BA18" i="17"/>
  <c r="BA15" i="17"/>
  <c r="BA22" i="17"/>
  <c r="BA12" i="17"/>
  <c r="BA19" i="17"/>
  <c r="BB7" i="17"/>
  <c r="BB23" i="17" s="1"/>
  <c r="BA11" i="17"/>
  <c r="BA9" i="17"/>
  <c r="BB25" i="17" l="1"/>
  <c r="BB26" i="17"/>
  <c r="BB24" i="17"/>
  <c r="BB19" i="17"/>
  <c r="BB16" i="17"/>
  <c r="BB13" i="17"/>
  <c r="BB14" i="17"/>
  <c r="BB21" i="17"/>
  <c r="BB18" i="17"/>
  <c r="BB22" i="17"/>
  <c r="BB17" i="17"/>
  <c r="BB12" i="17"/>
  <c r="BB15" i="17"/>
  <c r="BB20" i="17"/>
  <c r="BC7" i="17"/>
  <c r="BC23" i="17" s="1"/>
  <c r="BB11" i="17"/>
  <c r="BB9" i="17"/>
  <c r="BC25" i="17" l="1"/>
  <c r="BC26" i="17"/>
  <c r="BC24" i="17"/>
  <c r="BC12" i="17"/>
  <c r="BC19" i="17"/>
  <c r="BC16" i="17"/>
  <c r="BC17" i="17"/>
  <c r="BC14" i="17"/>
  <c r="BC21" i="17"/>
  <c r="BC18" i="17"/>
  <c r="BC22" i="17"/>
  <c r="BC20" i="17"/>
  <c r="BC13" i="17"/>
  <c r="BC15" i="17"/>
  <c r="BD7" i="17"/>
  <c r="BD23" i="17" s="1"/>
  <c r="BC11" i="17"/>
  <c r="BC9" i="17"/>
  <c r="BD24" i="17" l="1"/>
  <c r="BD25" i="17"/>
  <c r="BD26" i="17"/>
  <c r="BD12" i="17"/>
  <c r="BD19" i="17"/>
  <c r="BD16" i="17"/>
  <c r="BD20" i="17"/>
  <c r="BD17" i="17"/>
  <c r="BD14" i="17"/>
  <c r="BD21" i="17"/>
  <c r="BD18" i="17"/>
  <c r="BD22" i="17"/>
  <c r="BD15" i="17"/>
  <c r="BD13" i="17"/>
  <c r="BD11" i="17"/>
  <c r="BD9" i="17"/>
  <c r="BE7" i="17"/>
  <c r="BE23" i="17" s="1"/>
  <c r="BE24" i="17" l="1"/>
  <c r="BE25" i="17"/>
  <c r="BE26" i="17"/>
  <c r="BE22" i="17"/>
  <c r="BE16" i="17"/>
  <c r="BE12" i="17"/>
  <c r="BE19" i="17"/>
  <c r="BE13" i="17"/>
  <c r="BE17" i="17"/>
  <c r="BE14" i="17"/>
  <c r="BE21" i="17"/>
  <c r="BE18" i="17"/>
  <c r="BE15" i="17"/>
  <c r="BE20" i="17"/>
  <c r="BE6" i="17"/>
  <c r="BF7" i="17"/>
  <c r="BF23" i="17" s="1"/>
  <c r="BE11" i="17"/>
  <c r="BE9" i="17"/>
  <c r="BF24" i="17" l="1"/>
  <c r="BF25" i="17"/>
  <c r="BF26" i="17"/>
  <c r="BF15" i="17"/>
  <c r="BF22" i="17"/>
  <c r="BF12" i="17"/>
  <c r="BF19" i="17"/>
  <c r="BF13" i="17"/>
  <c r="BF20" i="17"/>
  <c r="BF17" i="17"/>
  <c r="BF14" i="17"/>
  <c r="BF21" i="17"/>
  <c r="BF18" i="17"/>
  <c r="BF16" i="17"/>
  <c r="BG7" i="17"/>
  <c r="BG23" i="17" s="1"/>
  <c r="BF11" i="17"/>
  <c r="BF9" i="17"/>
  <c r="BG24" i="17" l="1"/>
  <c r="BG25" i="17"/>
  <c r="BG26" i="17"/>
  <c r="BG15" i="17"/>
  <c r="BG22" i="17"/>
  <c r="BG12" i="17"/>
  <c r="BG19" i="17"/>
  <c r="BG13" i="17"/>
  <c r="BG20" i="17"/>
  <c r="BG17" i="17"/>
  <c r="BG14" i="17"/>
  <c r="BG21" i="17"/>
  <c r="BG18" i="17"/>
  <c r="BG16" i="17"/>
  <c r="BH7" i="17"/>
  <c r="BH23" i="17" s="1"/>
  <c r="BG11" i="17"/>
  <c r="BG9" i="17"/>
  <c r="BH24" i="17" l="1"/>
  <c r="BH25" i="17"/>
  <c r="BH26" i="17"/>
  <c r="BH15" i="17"/>
  <c r="BH22" i="17"/>
  <c r="BH12" i="17"/>
  <c r="BH19" i="17"/>
  <c r="BH16" i="17"/>
  <c r="BH13" i="17"/>
  <c r="BH20" i="17"/>
  <c r="BH17" i="17"/>
  <c r="BH14" i="17"/>
  <c r="BH18" i="17"/>
  <c r="BH21" i="17"/>
  <c r="BH11" i="17"/>
  <c r="BH9" i="17"/>
  <c r="BI7" i="17"/>
  <c r="BI23" i="17" s="1"/>
  <c r="BI25" i="17" l="1"/>
  <c r="BI24" i="17"/>
  <c r="BI26" i="17"/>
  <c r="BI18" i="17"/>
  <c r="BI15" i="17"/>
  <c r="BI12" i="17"/>
  <c r="BI22" i="17"/>
  <c r="BI16" i="17"/>
  <c r="BI13" i="17"/>
  <c r="BI20" i="17"/>
  <c r="BI17" i="17"/>
  <c r="BI21" i="17"/>
  <c r="BI19" i="17"/>
  <c r="BI14" i="17"/>
  <c r="BJ7" i="17"/>
  <c r="BJ23" i="17" s="1"/>
  <c r="BI9" i="17"/>
  <c r="BI11" i="17"/>
  <c r="BJ24" i="17" l="1"/>
  <c r="BJ25" i="17"/>
  <c r="BJ26" i="17"/>
  <c r="BJ18" i="17"/>
  <c r="BJ15" i="17"/>
  <c r="BJ22" i="17"/>
  <c r="BJ16" i="17"/>
  <c r="BJ13" i="17"/>
  <c r="BJ20" i="17"/>
  <c r="BJ17" i="17"/>
  <c r="BJ21" i="17"/>
  <c r="BJ12" i="17"/>
  <c r="BJ19" i="17"/>
  <c r="BJ14" i="17"/>
  <c r="BK7" i="17"/>
  <c r="BK23" i="17" s="1"/>
  <c r="BJ11" i="17"/>
  <c r="BJ9" i="17"/>
  <c r="BK24" i="17" l="1"/>
  <c r="BK26" i="17"/>
  <c r="BK25" i="17"/>
  <c r="BK18" i="17"/>
  <c r="BK15" i="17"/>
  <c r="BK22" i="17"/>
  <c r="BK19" i="17"/>
  <c r="BK16" i="17"/>
  <c r="BK13" i="17"/>
  <c r="BK20" i="17"/>
  <c r="BK17" i="17"/>
  <c r="BK21" i="17"/>
  <c r="BK12" i="17"/>
  <c r="BK14" i="17"/>
  <c r="BL7" i="17"/>
  <c r="BL23" i="17" s="1"/>
  <c r="BK11" i="17"/>
  <c r="BK9" i="17"/>
  <c r="BL26" i="17" l="1"/>
  <c r="BL24" i="17"/>
  <c r="BL25" i="17"/>
  <c r="BL21" i="17"/>
  <c r="BL15" i="17"/>
  <c r="BL18" i="17"/>
  <c r="BL12" i="17"/>
  <c r="BL16" i="17"/>
  <c r="BL13" i="17"/>
  <c r="BL20" i="17"/>
  <c r="BL17" i="17"/>
  <c r="BL22" i="17"/>
  <c r="BL19" i="17"/>
  <c r="BL14" i="17"/>
  <c r="BM7" i="17"/>
  <c r="BM23" i="17" s="1"/>
  <c r="BL11" i="17"/>
  <c r="BL9" i="17"/>
  <c r="BM26" i="17" l="1"/>
  <c r="BM24" i="17"/>
  <c r="BM25" i="17"/>
  <c r="BM14" i="17"/>
  <c r="BM21" i="17"/>
  <c r="BM18" i="17"/>
  <c r="BM12" i="17"/>
  <c r="BM19" i="17"/>
  <c r="BM16" i="17"/>
  <c r="BM13" i="17"/>
  <c r="BM20" i="17"/>
  <c r="BM17" i="17"/>
  <c r="BM22" i="17"/>
  <c r="BM15" i="17"/>
  <c r="BM9" i="17"/>
  <c r="BN7" i="17"/>
  <c r="BN23" i="17" s="1"/>
  <c r="BM11" i="17"/>
  <c r="BN26" i="17" l="1"/>
  <c r="BN24" i="17"/>
  <c r="BN25" i="17"/>
  <c r="BN14" i="17"/>
  <c r="BN21" i="17"/>
  <c r="BN18" i="17"/>
  <c r="BN22" i="17"/>
  <c r="BN12" i="17"/>
  <c r="BN19" i="17"/>
  <c r="BN16" i="17"/>
  <c r="BN13" i="17"/>
  <c r="BN20" i="17"/>
  <c r="BN17" i="17"/>
  <c r="BN15" i="17"/>
  <c r="BN9" i="17"/>
  <c r="BO7" i="17"/>
  <c r="BO23" i="17" s="1"/>
  <c r="BN11" i="17"/>
  <c r="BO26" i="17" l="1"/>
  <c r="BO24" i="17"/>
  <c r="BO25" i="17"/>
  <c r="BO14" i="17"/>
  <c r="BO21" i="17"/>
  <c r="BO18" i="17"/>
  <c r="BO15" i="17"/>
  <c r="BO12" i="17"/>
  <c r="BO19" i="17"/>
  <c r="BO16" i="17"/>
  <c r="BO13" i="17"/>
  <c r="BO17" i="17"/>
  <c r="BO22" i="17"/>
  <c r="BO20" i="17"/>
  <c r="BO9" i="17"/>
  <c r="BP7" i="17"/>
  <c r="BP23" i="17" s="1"/>
  <c r="BO11" i="17"/>
  <c r="BP26" i="17" l="1"/>
  <c r="BP25" i="17"/>
  <c r="BP24" i="17"/>
  <c r="BP17" i="17"/>
  <c r="BP14" i="17"/>
  <c r="BP21" i="17"/>
  <c r="BP15" i="17"/>
  <c r="BP22" i="17"/>
  <c r="BP12" i="17"/>
  <c r="BP19" i="17"/>
  <c r="BP16" i="17"/>
  <c r="BP18" i="17"/>
  <c r="BP20" i="17"/>
  <c r="BP13" i="17"/>
  <c r="BP11" i="17"/>
  <c r="BP9" i="17"/>
  <c r="BQ7" i="17"/>
  <c r="BQ23" i="17" s="1"/>
  <c r="BQ25" i="17" l="1"/>
  <c r="BQ26" i="17"/>
  <c r="BQ24" i="17"/>
  <c r="BQ17" i="17"/>
  <c r="BQ14" i="17"/>
  <c r="BQ21" i="17"/>
  <c r="BQ15" i="17"/>
  <c r="BQ22" i="17"/>
  <c r="BQ12" i="17"/>
  <c r="BQ19" i="17"/>
  <c r="BQ16" i="17"/>
  <c r="BQ20" i="17"/>
  <c r="BQ18" i="17"/>
  <c r="BQ13" i="17"/>
  <c r="BQ11" i="17"/>
  <c r="BR7" i="17"/>
  <c r="BR23" i="17" s="1"/>
  <c r="BQ9" i="17"/>
  <c r="BR26" i="17" l="1"/>
  <c r="BR24" i="17"/>
  <c r="BR25" i="17"/>
  <c r="BR17" i="17"/>
  <c r="BR14" i="17"/>
  <c r="BR21" i="17"/>
  <c r="BR18" i="17"/>
  <c r="BR15" i="17"/>
  <c r="BR22" i="17"/>
  <c r="BR12" i="17"/>
  <c r="BR19" i="17"/>
  <c r="BR16" i="17"/>
  <c r="BR20" i="17"/>
  <c r="BR13" i="17"/>
  <c r="BS7" i="17"/>
  <c r="BS23" i="17" s="1"/>
  <c r="BR11" i="17"/>
  <c r="BR9" i="17"/>
  <c r="BS26" i="17" l="1"/>
  <c r="BS25" i="17"/>
  <c r="BS24" i="17"/>
  <c r="BS20" i="17"/>
  <c r="BS14" i="17"/>
  <c r="BS17" i="17"/>
  <c r="BS15" i="17"/>
  <c r="BS22" i="17"/>
  <c r="BS12" i="17"/>
  <c r="BS19" i="17"/>
  <c r="BS16" i="17"/>
  <c r="BS21" i="17"/>
  <c r="BS18" i="17"/>
  <c r="BS13" i="17"/>
  <c r="BS9" i="17"/>
  <c r="BT7" i="17"/>
  <c r="BT23" i="17" s="1"/>
  <c r="BS11" i="17"/>
  <c r="BT26" i="17" l="1"/>
  <c r="BT24" i="17"/>
  <c r="BT25" i="17"/>
  <c r="BT13" i="17"/>
  <c r="BT20" i="17"/>
  <c r="BT17" i="17"/>
  <c r="BT18" i="17"/>
  <c r="BT15" i="17"/>
  <c r="BT22" i="17"/>
  <c r="BT12" i="17"/>
  <c r="BT19" i="17"/>
  <c r="BT21" i="17"/>
  <c r="BT14" i="17"/>
  <c r="BT16" i="17"/>
  <c r="BU7" i="17"/>
  <c r="BU23" i="17" s="1"/>
  <c r="BT11" i="17"/>
  <c r="BT9" i="17"/>
  <c r="BU25" i="17" l="1"/>
  <c r="BU26" i="17"/>
  <c r="BU24" i="17"/>
  <c r="BU13" i="17"/>
  <c r="BU20" i="17"/>
  <c r="BU17" i="17"/>
  <c r="BU21" i="17"/>
  <c r="BU18" i="17"/>
  <c r="BU22" i="17"/>
  <c r="BU15" i="17"/>
  <c r="BU12" i="17"/>
  <c r="BU19" i="17"/>
  <c r="BU16" i="17"/>
  <c r="BU14" i="17"/>
  <c r="BV7" i="17"/>
  <c r="BV23" i="17" s="1"/>
  <c r="BU9" i="17"/>
  <c r="BU11" i="17"/>
  <c r="BV26" i="17" l="1"/>
  <c r="BV25" i="17"/>
  <c r="BV24" i="17"/>
  <c r="BV13" i="17"/>
  <c r="BV20" i="17"/>
  <c r="BV17" i="17"/>
  <c r="BV14" i="17"/>
  <c r="BV18" i="17"/>
  <c r="BV15" i="17"/>
  <c r="BV22" i="17"/>
  <c r="BV12" i="17"/>
  <c r="BV16" i="17"/>
  <c r="BV21" i="17"/>
  <c r="BV19" i="17"/>
  <c r="BV9" i="17"/>
  <c r="BV11" i="17"/>
  <c r="BW7" i="17"/>
  <c r="BW23" i="17" s="1"/>
  <c r="BW25" i="17" l="1"/>
  <c r="BW26" i="17"/>
  <c r="BW24" i="17"/>
  <c r="BW16" i="17"/>
  <c r="BW13" i="17"/>
  <c r="BW20" i="17"/>
  <c r="BW14" i="17"/>
  <c r="BW21" i="17"/>
  <c r="BW18" i="17"/>
  <c r="BW15" i="17"/>
  <c r="BW22" i="17"/>
  <c r="BW17" i="17"/>
  <c r="BW12" i="17"/>
  <c r="BW19" i="17"/>
  <c r="BW9" i="17"/>
  <c r="BX7" i="17"/>
  <c r="BX23" i="17" s="1"/>
  <c r="BW11" i="17"/>
  <c r="BX25" i="17" l="1"/>
  <c r="BX26" i="17"/>
  <c r="BX24" i="17"/>
  <c r="BX16" i="17"/>
  <c r="BX13" i="17"/>
  <c r="BX20" i="17"/>
  <c r="BX14" i="17"/>
  <c r="BX21" i="17"/>
  <c r="BX18" i="17"/>
  <c r="BX15" i="17"/>
  <c r="BX22" i="17"/>
  <c r="BX17" i="17"/>
  <c r="BX12" i="17"/>
  <c r="BX19" i="17"/>
  <c r="BX6" i="17"/>
  <c r="BY7" i="17"/>
  <c r="BY23" i="17" s="1"/>
  <c r="BX9" i="17"/>
  <c r="BX11" i="17"/>
  <c r="BY25" i="17" l="1"/>
  <c r="BY24" i="17"/>
  <c r="BY26" i="17"/>
  <c r="BY16" i="17"/>
  <c r="BY20" i="17"/>
  <c r="BY13" i="17"/>
  <c r="BY17" i="17"/>
  <c r="BY14" i="17"/>
  <c r="BY21" i="17"/>
  <c r="BY18" i="17"/>
  <c r="BY15" i="17"/>
  <c r="BY22" i="17"/>
  <c r="BY12" i="17"/>
  <c r="BY19" i="17"/>
  <c r="BZ7" i="17"/>
  <c r="BZ23" i="17" s="1"/>
  <c r="BY9" i="17"/>
  <c r="BY11" i="17"/>
  <c r="BZ26" i="17" l="1"/>
  <c r="BZ25" i="17"/>
  <c r="BZ24" i="17"/>
  <c r="BZ19" i="17"/>
  <c r="BZ13" i="17"/>
  <c r="BZ16" i="17"/>
  <c r="BZ14" i="17"/>
  <c r="BZ21" i="17"/>
  <c r="BZ18" i="17"/>
  <c r="BZ15" i="17"/>
  <c r="BZ20" i="17"/>
  <c r="BZ17" i="17"/>
  <c r="BZ22" i="17"/>
  <c r="BZ12" i="17"/>
  <c r="BZ11" i="17"/>
  <c r="CA7" i="17"/>
  <c r="CA23" i="17" s="1"/>
  <c r="BZ9" i="17"/>
  <c r="CA25" i="17" l="1"/>
  <c r="CA26" i="17"/>
  <c r="CA24" i="17"/>
  <c r="CA12" i="17"/>
  <c r="CA19" i="17"/>
  <c r="CA16" i="17"/>
  <c r="CA17" i="17"/>
  <c r="CA14" i="17"/>
  <c r="CA21" i="17"/>
  <c r="CA18" i="17"/>
  <c r="CA20" i="17"/>
  <c r="CA22" i="17"/>
  <c r="CA15" i="17"/>
  <c r="CA13" i="17"/>
  <c r="CA11" i="17"/>
  <c r="CA9" i="17"/>
  <c r="CB7" i="17"/>
  <c r="CB23" i="17" s="1"/>
  <c r="CB24" i="17" l="1"/>
  <c r="CB25" i="17"/>
  <c r="CB26" i="17"/>
  <c r="CB12" i="17"/>
  <c r="CB19" i="17"/>
  <c r="CB16" i="17"/>
  <c r="CB20" i="17"/>
  <c r="CB17" i="17"/>
  <c r="CB14" i="17"/>
  <c r="CB21" i="17"/>
  <c r="CB18" i="17"/>
  <c r="CB13" i="17"/>
  <c r="CB15" i="17"/>
  <c r="CB22" i="17"/>
  <c r="CC7" i="17"/>
  <c r="CC23" i="17" s="1"/>
  <c r="CB11" i="17"/>
  <c r="CB9" i="17"/>
  <c r="CC11" i="17" l="1"/>
  <c r="CC24" i="17"/>
  <c r="CC25" i="17"/>
  <c r="CC26" i="17"/>
  <c r="CC9" i="17"/>
  <c r="CC22" i="17"/>
  <c r="CC12" i="17"/>
  <c r="CC16" i="17"/>
  <c r="CC19" i="17"/>
  <c r="CC13" i="17"/>
  <c r="CC17" i="17"/>
  <c r="CC14" i="17"/>
  <c r="CC21" i="17"/>
  <c r="CC15" i="17"/>
  <c r="CC20" i="17"/>
  <c r="CC18" i="17"/>
  <c r="CD7" i="17"/>
  <c r="CD23" i="17" s="1"/>
  <c r="CD24" i="17" l="1"/>
  <c r="CD25" i="17"/>
  <c r="CD26" i="17"/>
  <c r="CD15" i="17"/>
  <c r="CD22" i="17"/>
  <c r="CD12" i="17"/>
  <c r="CD19" i="17"/>
  <c r="CD13" i="17"/>
  <c r="CD20" i="17"/>
  <c r="CD17" i="17"/>
  <c r="CD14" i="17"/>
  <c r="CD21" i="17"/>
  <c r="CD16" i="17"/>
  <c r="CD18" i="17"/>
  <c r="CE7" i="17"/>
  <c r="CE23" i="17" s="1"/>
  <c r="CD11" i="17"/>
  <c r="CD9" i="17"/>
  <c r="CE26" i="17" l="1"/>
  <c r="CE24" i="17"/>
  <c r="CE25" i="17"/>
  <c r="CE15" i="17"/>
  <c r="CE22" i="17"/>
  <c r="CE12" i="17"/>
  <c r="CE19" i="17"/>
  <c r="CE13" i="17"/>
  <c r="CE20" i="17"/>
  <c r="CE17" i="17"/>
  <c r="CE14" i="17"/>
  <c r="CE21" i="17"/>
  <c r="CE16" i="17"/>
  <c r="CE18" i="17"/>
  <c r="CE9" i="17"/>
  <c r="CE11" i="17"/>
  <c r="CF7" i="17"/>
  <c r="CF9" i="17" l="1"/>
  <c r="CF23" i="17"/>
  <c r="CG7" i="17"/>
  <c r="CG23" i="17" s="1"/>
  <c r="CF11" i="17"/>
  <c r="CG26" i="17"/>
  <c r="CG24" i="17"/>
  <c r="CG25" i="17"/>
  <c r="CF24" i="17"/>
  <c r="CF25" i="17"/>
  <c r="CF26" i="17"/>
  <c r="CG18" i="17"/>
  <c r="CG12" i="17"/>
  <c r="CG15" i="17"/>
  <c r="CG22" i="17"/>
  <c r="CG16" i="17"/>
  <c r="CG13" i="17"/>
  <c r="CG20" i="17"/>
  <c r="CG17" i="17"/>
  <c r="CG21" i="17"/>
  <c r="CG19" i="17"/>
  <c r="CG14" i="17"/>
  <c r="CF15" i="17"/>
  <c r="CF22" i="17"/>
  <c r="CF19" i="17"/>
  <c r="CF12" i="17"/>
  <c r="CF16" i="17"/>
  <c r="CF13" i="17"/>
  <c r="CF20" i="17"/>
  <c r="CF17" i="17"/>
  <c r="CF14" i="17"/>
  <c r="CF21" i="17"/>
  <c r="CF18" i="17"/>
  <c r="CG9" i="17"/>
  <c r="CH7" i="17"/>
  <c r="CH23" i="17" s="1"/>
  <c r="CG11" i="17"/>
  <c r="CH24" i="17" l="1"/>
  <c r="CH25" i="17"/>
  <c r="CH26" i="17"/>
  <c r="CH18" i="17"/>
  <c r="CH15" i="17"/>
  <c r="CH22" i="17"/>
  <c r="CH16" i="17"/>
  <c r="CH13" i="17"/>
  <c r="CH20" i="17"/>
  <c r="CH17" i="17"/>
  <c r="CH21" i="17"/>
  <c r="CH12" i="17"/>
  <c r="CH19" i="17"/>
  <c r="CH14" i="17"/>
  <c r="CH11" i="17"/>
  <c r="CH9" i="17"/>
  <c r="CI7" i="17"/>
  <c r="CI23" i="17" s="1"/>
  <c r="CI25" i="17" l="1"/>
  <c r="CI24" i="17"/>
  <c r="CI26" i="17"/>
  <c r="CI22" i="17"/>
  <c r="CI18" i="17"/>
  <c r="CI15" i="17"/>
  <c r="CI19" i="17"/>
  <c r="CI16" i="17"/>
  <c r="CI13" i="17"/>
  <c r="CI20" i="17"/>
  <c r="CI17" i="17"/>
  <c r="CI14" i="17"/>
  <c r="CI21" i="17"/>
  <c r="CI12" i="17"/>
  <c r="CJ7" i="17"/>
  <c r="CJ23" i="17" s="1"/>
  <c r="CI9" i="17"/>
  <c r="CI11" i="17"/>
  <c r="CJ26" i="17" l="1"/>
  <c r="CJ24" i="17"/>
  <c r="CJ25" i="17"/>
  <c r="CJ21" i="17"/>
  <c r="CJ15" i="17"/>
  <c r="CJ18" i="17"/>
  <c r="CJ12" i="17"/>
  <c r="CJ16" i="17"/>
  <c r="CJ13" i="17"/>
  <c r="CJ20" i="17"/>
  <c r="CJ14" i="17"/>
  <c r="CJ17" i="17"/>
  <c r="CJ22" i="17"/>
  <c r="CJ19" i="17"/>
  <c r="CJ9" i="17"/>
  <c r="CJ11" i="17"/>
  <c r="CK7" i="17"/>
  <c r="CK23" i="17" s="1"/>
  <c r="CK24" i="17" l="1"/>
  <c r="CK26" i="17"/>
  <c r="CK25" i="17"/>
  <c r="CK14" i="17"/>
  <c r="CK21" i="17"/>
  <c r="CK18" i="17"/>
  <c r="CK12" i="17"/>
  <c r="CK19" i="17"/>
  <c r="CK16" i="17"/>
  <c r="CK13" i="17"/>
  <c r="CK20" i="17"/>
  <c r="CK15" i="17"/>
  <c r="CK17" i="17"/>
  <c r="CK22" i="17"/>
  <c r="CK11" i="17"/>
  <c r="CK9" i="17"/>
  <c r="CL7" i="17"/>
  <c r="CL23" i="17" s="1"/>
  <c r="CL26" i="17" l="1"/>
  <c r="CL24" i="17"/>
  <c r="CL25" i="17"/>
  <c r="CL14" i="17"/>
  <c r="CL21" i="17"/>
  <c r="CL18" i="17"/>
  <c r="CL22" i="17"/>
  <c r="CL12" i="17"/>
  <c r="CL19" i="17"/>
  <c r="CL16" i="17"/>
  <c r="CL13" i="17"/>
  <c r="CL20" i="17"/>
  <c r="CL15" i="17"/>
  <c r="CL17" i="17"/>
  <c r="CM7" i="17"/>
  <c r="CM23" i="17" s="1"/>
  <c r="CL9" i="17"/>
  <c r="CL11" i="17"/>
  <c r="CM26" i="17" l="1"/>
  <c r="CM25" i="17"/>
  <c r="CM24" i="17"/>
  <c r="CM14" i="17"/>
  <c r="CM21" i="17"/>
  <c r="CM18" i="17"/>
  <c r="CM15" i="17"/>
  <c r="CM12" i="17"/>
  <c r="CM19" i="17"/>
  <c r="CM16" i="17"/>
  <c r="CM13" i="17"/>
  <c r="CM20" i="17"/>
  <c r="CM17" i="17"/>
  <c r="CM22" i="17"/>
  <c r="CM9" i="17"/>
  <c r="CM11" i="17"/>
  <c r="CN7" i="17"/>
  <c r="CN23" i="17" s="1"/>
  <c r="CN26" i="17" l="1"/>
  <c r="CN24" i="17"/>
  <c r="CN25" i="17"/>
  <c r="CN17" i="17"/>
  <c r="CN14" i="17"/>
  <c r="CN21" i="17"/>
  <c r="CN15" i="17"/>
  <c r="CN22" i="17"/>
  <c r="CN12" i="17"/>
  <c r="CN19" i="17"/>
  <c r="CN16" i="17"/>
  <c r="CN20" i="17"/>
  <c r="CN18" i="17"/>
  <c r="CN13" i="17"/>
  <c r="CN11" i="17"/>
  <c r="CO7" i="17"/>
  <c r="CO23" i="17" s="1"/>
  <c r="CN9" i="17"/>
  <c r="CO26" i="17" l="1"/>
  <c r="CO25" i="17"/>
  <c r="CO24" i="17"/>
  <c r="CO17" i="17"/>
  <c r="CO14" i="17"/>
  <c r="CO21" i="17"/>
  <c r="CO15" i="17"/>
  <c r="CO22" i="17"/>
  <c r="CO12" i="17"/>
  <c r="CO19" i="17"/>
  <c r="CO16" i="17"/>
  <c r="CO20" i="17"/>
  <c r="CO13" i="17"/>
  <c r="CO18" i="17"/>
  <c r="CP7" i="17"/>
  <c r="CP23" i="17" s="1"/>
  <c r="CO9" i="17"/>
  <c r="CO11" i="17"/>
  <c r="CP26" i="17" l="1"/>
  <c r="CP25" i="17"/>
  <c r="CP24" i="17"/>
  <c r="CP21" i="17"/>
  <c r="CP17" i="17"/>
  <c r="CP14" i="17"/>
  <c r="CP18" i="17"/>
  <c r="CP15" i="17"/>
  <c r="CP22" i="17"/>
  <c r="CP12" i="17"/>
  <c r="CP19" i="17"/>
  <c r="CP16" i="17"/>
  <c r="CP20" i="17"/>
  <c r="CP13" i="17"/>
  <c r="CQ7" i="17"/>
  <c r="CQ23" i="17" s="1"/>
  <c r="CP9" i="17"/>
  <c r="CP11" i="17"/>
  <c r="CQ26" i="17" l="1"/>
  <c r="CQ25" i="17"/>
  <c r="CQ24" i="17"/>
  <c r="CQ20" i="17"/>
  <c r="CQ14" i="17"/>
  <c r="CQ17" i="17"/>
  <c r="CQ15" i="17"/>
  <c r="CQ22" i="17"/>
  <c r="CQ12" i="17"/>
  <c r="CQ19" i="17"/>
  <c r="CQ13" i="17"/>
  <c r="CQ16" i="17"/>
  <c r="CQ21" i="17"/>
  <c r="CQ18" i="17"/>
  <c r="CQ11" i="17"/>
  <c r="CQ9" i="17"/>
  <c r="CR7" i="17"/>
  <c r="CR23" i="17" s="1"/>
  <c r="CR26" i="17" l="1"/>
  <c r="CR25" i="17"/>
  <c r="CR24" i="17"/>
  <c r="CR13" i="17"/>
  <c r="CR20" i="17"/>
  <c r="CR17" i="17"/>
  <c r="CR18" i="17"/>
  <c r="CR15" i="17"/>
  <c r="CR22" i="17"/>
  <c r="CR12" i="17"/>
  <c r="CR19" i="17"/>
  <c r="CR16" i="17"/>
  <c r="CR14" i="17"/>
  <c r="CR21" i="17"/>
  <c r="CS7" i="17"/>
  <c r="CS23" i="17" s="1"/>
  <c r="CR9" i="17"/>
  <c r="CR11" i="17"/>
  <c r="CS25" i="17" l="1"/>
  <c r="CS24" i="17"/>
  <c r="CS26" i="17"/>
  <c r="CS13" i="17"/>
  <c r="CS20" i="17"/>
  <c r="CS17" i="17"/>
  <c r="CS21" i="17"/>
  <c r="CS18" i="17"/>
  <c r="CS22" i="17"/>
  <c r="CS15" i="17"/>
  <c r="CS12" i="17"/>
  <c r="CS19" i="17"/>
  <c r="CS16" i="17"/>
  <c r="CS14" i="17"/>
  <c r="CT7" i="17"/>
  <c r="CT23" i="17" s="1"/>
  <c r="CS9" i="17"/>
  <c r="CS11" i="17"/>
  <c r="CT25" i="17" l="1"/>
  <c r="CT26" i="17"/>
  <c r="CT24" i="17"/>
  <c r="CT13" i="17"/>
  <c r="CT20" i="17"/>
  <c r="CT17" i="17"/>
  <c r="CT14" i="17"/>
  <c r="CT18" i="17"/>
  <c r="CT15" i="17"/>
  <c r="CT22" i="17"/>
  <c r="CT12" i="17"/>
  <c r="CT16" i="17"/>
  <c r="CT21" i="17"/>
  <c r="CT19" i="17"/>
  <c r="CU7" i="17"/>
  <c r="CU23" i="17" s="1"/>
  <c r="CT9" i="17"/>
  <c r="CT11" i="17"/>
  <c r="CU24" i="17" l="1"/>
  <c r="CU25" i="17"/>
  <c r="CU26" i="17"/>
  <c r="CU16" i="17"/>
  <c r="CU13" i="17"/>
  <c r="CU20" i="17"/>
  <c r="CU14" i="17"/>
  <c r="CU21" i="17"/>
  <c r="CU18" i="17"/>
  <c r="CU15" i="17"/>
  <c r="CU22" i="17"/>
  <c r="CU12" i="17"/>
  <c r="CU17" i="17"/>
  <c r="CU19" i="17"/>
  <c r="CV7" i="17"/>
  <c r="CV23" i="17" s="1"/>
  <c r="CU11" i="17"/>
  <c r="CU9" i="17"/>
  <c r="CV25" i="17" l="1"/>
  <c r="CV26" i="17"/>
  <c r="CV24" i="17"/>
  <c r="CV16" i="17"/>
  <c r="CV13" i="17"/>
  <c r="CV20" i="17"/>
  <c r="CV14" i="17"/>
  <c r="CV21" i="17"/>
  <c r="CV18" i="17"/>
  <c r="CV15" i="17"/>
  <c r="CV22" i="17"/>
  <c r="CV19" i="17"/>
  <c r="CV12" i="17"/>
  <c r="CV17" i="17"/>
  <c r="CW7" i="17"/>
  <c r="CW23" i="17" s="1"/>
  <c r="CV9" i="17"/>
  <c r="CV11" i="17"/>
  <c r="CW25" i="17" l="1"/>
  <c r="CW24" i="17"/>
  <c r="CW26" i="17"/>
  <c r="CW20" i="17"/>
  <c r="CW16" i="17"/>
  <c r="CW13" i="17"/>
  <c r="CW17" i="17"/>
  <c r="CW14" i="17"/>
  <c r="CW21" i="17"/>
  <c r="CW18" i="17"/>
  <c r="CW15" i="17"/>
  <c r="CW19" i="17"/>
  <c r="CW12" i="17"/>
  <c r="CW22" i="17"/>
  <c r="CX7" i="17"/>
  <c r="CX23" i="17" s="1"/>
  <c r="CW9" i="17"/>
  <c r="CW11" i="17"/>
  <c r="CX26" i="17" l="1"/>
  <c r="CX25" i="17"/>
  <c r="CX24" i="17"/>
  <c r="CX19" i="17"/>
  <c r="CX16" i="17"/>
  <c r="CX13" i="17"/>
  <c r="CX14" i="17"/>
  <c r="CX21" i="17"/>
  <c r="CX18" i="17"/>
  <c r="CX12" i="17"/>
  <c r="CX15" i="17"/>
  <c r="CX20" i="17"/>
  <c r="CX17" i="17"/>
  <c r="CX22" i="17"/>
  <c r="CY7" i="17"/>
  <c r="CY23" i="17" s="1"/>
  <c r="CX11" i="17"/>
  <c r="CX9" i="17"/>
  <c r="CY25" i="17" l="1"/>
  <c r="CY24" i="17"/>
  <c r="CY26" i="17"/>
  <c r="CY12" i="17"/>
  <c r="CY19" i="17"/>
  <c r="CY16" i="17"/>
  <c r="CY17" i="17"/>
  <c r="CY14" i="17"/>
  <c r="CY21" i="17"/>
  <c r="CY18" i="17"/>
  <c r="CY13" i="17"/>
  <c r="CY15" i="17"/>
  <c r="CY20" i="17"/>
  <c r="CY22" i="17"/>
  <c r="CY11" i="17"/>
  <c r="CZ7" i="17"/>
  <c r="CZ23" i="17" s="1"/>
  <c r="CY9" i="17"/>
  <c r="CZ24" i="17" l="1"/>
  <c r="CZ26" i="17"/>
  <c r="CZ25" i="17"/>
  <c r="CZ12" i="17"/>
  <c r="CZ19" i="17"/>
  <c r="CZ16" i="17"/>
  <c r="CZ20" i="17"/>
  <c r="CZ17" i="17"/>
  <c r="CZ14" i="17"/>
  <c r="CZ21" i="17"/>
  <c r="CZ18" i="17"/>
  <c r="CZ15" i="17"/>
  <c r="CZ13" i="17"/>
  <c r="CZ22" i="17"/>
  <c r="CZ11" i="17"/>
  <c r="DA7" i="17"/>
  <c r="DA23" i="17" s="1"/>
  <c r="CZ9" i="17"/>
  <c r="DA24" i="17" l="1"/>
  <c r="DA25" i="17"/>
  <c r="DA26" i="17"/>
  <c r="DA22" i="17"/>
  <c r="DA12" i="17"/>
  <c r="DA19" i="17"/>
  <c r="DA16" i="17"/>
  <c r="DA13" i="17"/>
  <c r="DA17" i="17"/>
  <c r="DA14" i="17"/>
  <c r="DA21" i="17"/>
  <c r="DA15" i="17"/>
  <c r="DA20" i="17"/>
  <c r="DA18" i="17"/>
  <c r="DA11" i="17"/>
  <c r="DB7" i="17"/>
  <c r="DB23" i="17" s="1"/>
  <c r="DA9" i="17"/>
  <c r="DB24" i="17" l="1"/>
  <c r="DB25" i="17"/>
  <c r="DB26" i="17"/>
  <c r="DB15" i="17"/>
  <c r="DB22" i="17"/>
  <c r="DB12" i="17"/>
  <c r="DB19" i="17"/>
  <c r="DB13" i="17"/>
  <c r="DB20" i="17"/>
  <c r="DB17" i="17"/>
  <c r="DB14" i="17"/>
  <c r="DB21" i="17"/>
  <c r="DB16" i="17"/>
  <c r="DB18" i="17"/>
  <c r="DB6" i="17"/>
  <c r="DB11" i="17"/>
  <c r="DC7" i="17"/>
  <c r="DC23" i="17" s="1"/>
  <c r="DB9" i="17"/>
  <c r="DC25" i="17" l="1"/>
  <c r="DC24" i="17"/>
  <c r="DC26" i="17"/>
  <c r="DC15" i="17"/>
  <c r="DC22" i="17"/>
  <c r="DC12" i="17"/>
  <c r="DC19" i="17"/>
  <c r="DC13" i="17"/>
  <c r="DC20" i="17"/>
  <c r="DC17" i="17"/>
  <c r="DC14" i="17"/>
  <c r="DC21" i="17"/>
  <c r="DC16" i="17"/>
  <c r="DC18" i="17"/>
  <c r="DC9" i="17"/>
  <c r="DC11" i="17"/>
  <c r="DD7" i="17"/>
  <c r="DD23" i="17" s="1"/>
  <c r="DD24" i="17" l="1"/>
  <c r="DD26" i="17"/>
  <c r="DD25" i="17"/>
  <c r="DD19" i="17"/>
  <c r="DD15" i="17"/>
  <c r="DD22" i="17"/>
  <c r="DD12" i="17"/>
  <c r="DD16" i="17"/>
  <c r="DD13" i="17"/>
  <c r="DD20" i="17"/>
  <c r="DD17" i="17"/>
  <c r="DD14" i="17"/>
  <c r="DD21" i="17"/>
  <c r="DD18" i="17"/>
  <c r="DD11" i="17"/>
  <c r="DE7" i="17"/>
  <c r="DE23" i="17" s="1"/>
  <c r="DD9" i="17"/>
  <c r="DE24" i="17" l="1"/>
  <c r="DE25" i="17"/>
  <c r="DE26" i="17"/>
  <c r="DE18" i="17"/>
  <c r="DE12" i="17"/>
  <c r="DE15" i="17"/>
  <c r="DE22" i="17"/>
  <c r="DE13" i="17"/>
  <c r="DE20" i="17"/>
  <c r="DE17" i="17"/>
  <c r="DF7" i="17"/>
  <c r="DF23" i="17" s="1"/>
  <c r="DE19" i="17"/>
  <c r="DE14" i="17"/>
  <c r="DE16" i="17"/>
  <c r="DE21" i="17"/>
  <c r="DE11" i="17"/>
  <c r="DE9" i="17"/>
  <c r="DF24" i="17" l="1"/>
  <c r="DF26" i="17"/>
  <c r="DF25" i="17"/>
  <c r="DF9" i="17"/>
  <c r="DF18" i="17"/>
  <c r="DF15" i="17"/>
  <c r="DF22" i="17"/>
  <c r="DF16" i="17"/>
  <c r="DF13" i="17"/>
  <c r="DF20" i="17"/>
  <c r="DF17" i="17"/>
  <c r="DF14" i="17"/>
  <c r="DF12" i="17"/>
  <c r="DF19" i="17"/>
  <c r="DF21" i="17"/>
  <c r="DF11" i="17"/>
</calcChain>
</file>

<file path=xl/sharedStrings.xml><?xml version="1.0" encoding="utf-8"?>
<sst xmlns="http://schemas.openxmlformats.org/spreadsheetml/2006/main" count="45" uniqueCount="30">
  <si>
    <t>Category</t>
  </si>
  <si>
    <t>Milestone</t>
  </si>
  <si>
    <t>Low Risk</t>
  </si>
  <si>
    <t>Med Risk</t>
  </si>
  <si>
    <t>On Track</t>
  </si>
  <si>
    <t>Definição do problema e objetivos do AquaSense</t>
  </si>
  <si>
    <t>Requisitos, sensores/atuadores e tecnologias</t>
  </si>
  <si>
    <t>Desenho da infraestrutura computacional + esboço físico</t>
  </si>
  <si>
    <t>Milestone 1</t>
  </si>
  <si>
    <t>Milestone 2</t>
  </si>
  <si>
    <t>Montagem inicial do hardware (ESP32, fita LED, ventoinha, LDR, temp, pH)</t>
  </si>
  <si>
    <t>Programação base do ESP32 (sensores, PWM da luz, ventoinha)</t>
  </si>
  <si>
    <t>Descricão</t>
  </si>
  <si>
    <t>Backend em PHP + REST + ligação MySQL (versão inicial)</t>
  </si>
  <si>
    <t>Protótipo funcional integrado (hardware + backend + BD)</t>
  </si>
  <si>
    <t>Estrutura final da base de dados + API definitiva</t>
  </si>
  <si>
    <t>Recolha de dados, limpeza e preparação para IA</t>
  </si>
  <si>
    <t>Modelo de IA para previsão de consumo energético</t>
  </si>
  <si>
    <t>Plano e validação de testes (Engenharia de Software)</t>
  </si>
  <si>
    <t>Integração final, ajustes e otimizações</t>
  </si>
  <si>
    <t>Relatório final, slides, vídeo, poster e ensaio da apresentação</t>
  </si>
  <si>
    <t>Milestone 3</t>
  </si>
  <si>
    <t>Ínicio</t>
  </si>
  <si>
    <t>Fim</t>
  </si>
  <si>
    <t>Nº Dias</t>
  </si>
  <si>
    <t>PROJECT: Aquase Sense</t>
  </si>
  <si>
    <t>Datas</t>
  </si>
  <si>
    <t>Data de ínicio: 28/10/2025</t>
  </si>
  <si>
    <t>Data de fim: 06/02/2026</t>
  </si>
  <si>
    <t>Legenda: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</si>
</sst>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0.00_);_(* \(#,##0.00\);_(* &quot;-&quot;??_);_(@_)"/>
    <numFmt numFmtId="165" formatCode="d"/>
  </numFmts>
  <fonts count="24"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sz val="11"/>
      <color theme="0"/>
      <name val="Calibri"/>
      <family val="2"/>
      <scheme val="minor"/>
    </font>
    <font>
      <b/>
      <sz val="10"/>
      <color theme="0"/>
      <name val="Calibri"/>
      <family val="2"/>
      <scheme val="minor"/>
    </font>
    <font>
      <b/>
      <sz val="14"/>
      <name val="Calibri"/>
      <family val="2"/>
      <scheme val="minor"/>
    </font>
    <font>
      <b/>
      <sz val="14"/>
      <color theme="0"/>
      <name val="Calibri"/>
      <family val="2"/>
      <scheme val="minor"/>
    </font>
    <font>
      <sz val="14"/>
      <name val="Calibri"/>
      <family val="2"/>
      <scheme val="minor"/>
    </font>
    <font>
      <b/>
      <sz val="11"/>
      <color theme="0"/>
      <name val="Calibri"/>
      <family val="2"/>
      <scheme val="minor"/>
    </font>
    <font>
      <b/>
      <sz val="20"/>
      <name val="Calibri"/>
      <family val="2"/>
      <scheme val="major"/>
    </font>
    <font>
      <b/>
      <sz val="22"/>
      <name val="Calibri"/>
      <family val="2"/>
      <scheme val="major"/>
    </font>
    <font>
      <b/>
      <sz val="16"/>
      <name val="Calibri"/>
      <family val="2"/>
      <scheme val="minor"/>
    </font>
    <font>
      <b/>
      <sz val="26"/>
      <name val="Calibri"/>
      <family val="2"/>
      <scheme val="major"/>
    </font>
    <font>
      <b/>
      <sz val="16"/>
      <name val="Calibri"/>
      <family val="2"/>
      <scheme val="major"/>
    </font>
    <font>
      <b/>
      <sz val="14"/>
      <color theme="8" tint="-0.499984740745262"/>
      <name val="Calibri"/>
      <family val="2"/>
      <scheme val="minor"/>
    </font>
    <font>
      <sz val="10"/>
      <color theme="1"/>
      <name val="Calibri"/>
      <family val="2"/>
      <scheme val="minor"/>
    </font>
    <font>
      <sz val="8"/>
      <name val="Calibri"/>
      <family val="2"/>
      <scheme val="minor"/>
    </font>
    <font>
      <sz val="11"/>
      <color rgb="FF33CC33"/>
      <name val="Calibri"/>
      <family val="2"/>
      <scheme val="minor"/>
    </font>
    <font>
      <b/>
      <sz val="14"/>
      <color rgb="FFFFFFFF"/>
      <name val="Calibri"/>
      <family val="2"/>
      <scheme val="minor"/>
    </font>
    <font>
      <sz val="11"/>
      <color rgb="FF000000"/>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rgb="FF969696"/>
        <bgColor indexed="64"/>
      </patternFill>
    </fill>
    <fill>
      <patternFill patternType="solid">
        <fgColor rgb="FF20A472"/>
        <bgColor rgb="FF000000"/>
      </patternFill>
    </fill>
    <fill>
      <patternFill patternType="solid">
        <fgColor rgb="FF00B0F0"/>
        <bgColor rgb="FF000000"/>
      </patternFill>
    </fill>
    <fill>
      <patternFill patternType="solid">
        <fgColor rgb="FF4868E5"/>
        <bgColor rgb="FF000000"/>
      </patternFill>
    </fill>
  </fills>
  <borders count="1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thin">
        <color theme="0" tint="-0.499984740745262"/>
      </top>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s>
  <cellStyleXfs count="11">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7"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37" fontId="4" fillId="0" borderId="0" applyFont="0" applyFill="0" applyBorder="0" applyProtection="0">
      <alignment horizontal="center" vertical="center"/>
    </xf>
  </cellStyleXfs>
  <cellXfs count="64">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3"/>
    <xf numFmtId="0" fontId="7" fillId="0" borderId="0" xfId="3" applyAlignment="1">
      <alignment wrapText="1"/>
    </xf>
    <xf numFmtId="0" fontId="7" fillId="0" borderId="0" xfId="0" applyFont="1" applyAlignment="1">
      <alignment horizontal="center"/>
    </xf>
    <xf numFmtId="9" fontId="0" fillId="0" borderId="0" xfId="2" applyFont="1" applyFill="1" applyBorder="1">
      <alignment horizontal="center" vertical="center"/>
    </xf>
    <xf numFmtId="14" fontId="0" fillId="0" borderId="0" xfId="9" applyFont="1" applyFill="1" applyBorder="1">
      <alignment horizontal="center" vertical="center"/>
    </xf>
    <xf numFmtId="37" fontId="0" fillId="0" borderId="0" xfId="10" applyFont="1" applyFill="1" applyBorder="1">
      <alignment horizontal="center" vertical="center"/>
    </xf>
    <xf numFmtId="0" fontId="0" fillId="0" borderId="0" xfId="0" applyAlignment="1">
      <alignment horizontal="left" wrapText="1" indent="2"/>
    </xf>
    <xf numFmtId="0" fontId="0" fillId="0" borderId="4" xfId="0" applyBorder="1" applyAlignment="1">
      <alignment horizontal="center" vertical="center"/>
    </xf>
    <xf numFmtId="0" fontId="0" fillId="0" borderId="6" xfId="0" applyBorder="1" applyAlignment="1">
      <alignment vertical="center"/>
    </xf>
    <xf numFmtId="0" fontId="3" fillId="0" borderId="0" xfId="0" applyFont="1" applyAlignment="1">
      <alignment horizontal="center" vertical="center"/>
    </xf>
    <xf numFmtId="14" fontId="3" fillId="0" borderId="0" xfId="9" applyFont="1" applyFill="1" applyBorder="1">
      <alignment horizontal="center" vertical="center"/>
    </xf>
    <xf numFmtId="37" fontId="3" fillId="0" borderId="0" xfId="10" applyFont="1" applyFill="1" applyBorder="1">
      <alignment horizontal="center" vertical="center"/>
    </xf>
    <xf numFmtId="0" fontId="3" fillId="2" borderId="0" xfId="0" applyFont="1" applyFill="1"/>
    <xf numFmtId="0" fontId="14" fillId="0" borderId="0" xfId="5" applyFont="1" applyFill="1" applyBorder="1" applyAlignment="1">
      <alignment horizontal="left" vertical="center"/>
    </xf>
    <xf numFmtId="0" fontId="13" fillId="0" borderId="0" xfId="0" applyFont="1" applyAlignment="1">
      <alignment horizontal="left" vertical="center"/>
    </xf>
    <xf numFmtId="0" fontId="3" fillId="0" borderId="0" xfId="0" applyFont="1" applyAlignment="1">
      <alignment vertical="center"/>
    </xf>
    <xf numFmtId="0" fontId="11" fillId="0" borderId="0" xfId="0" applyFont="1" applyAlignment="1">
      <alignment horizontal="center" vertical="center"/>
    </xf>
    <xf numFmtId="0" fontId="15" fillId="0" borderId="0" xfId="6" applyFont="1" applyFill="1" applyAlignment="1">
      <alignment horizontal="left" vertical="center" indent="2"/>
    </xf>
    <xf numFmtId="0" fontId="11"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14" fontId="3" fillId="0" borderId="0" xfId="9" applyFont="1" applyFill="1" applyBorder="1" applyAlignment="1">
      <alignment horizontal="left" vertical="center"/>
    </xf>
    <xf numFmtId="0" fontId="3" fillId="0" borderId="0" xfId="0" applyFont="1" applyAlignment="1">
      <alignment horizontal="left" vertical="center"/>
    </xf>
    <xf numFmtId="0" fontId="3" fillId="0" borderId="3" xfId="0" applyFont="1" applyBorder="1"/>
    <xf numFmtId="0" fontId="11" fillId="0" borderId="0" xfId="0" applyFont="1" applyAlignment="1">
      <alignment vertical="center"/>
    </xf>
    <xf numFmtId="0" fontId="8" fillId="0" borderId="3" xfId="0" applyFont="1" applyBorder="1" applyAlignment="1">
      <alignment horizontal="center" vertical="center" wrapText="1"/>
    </xf>
    <xf numFmtId="0" fontId="15" fillId="0" borderId="9" xfId="0" applyFont="1" applyBorder="1" applyAlignment="1">
      <alignment vertical="center"/>
    </xf>
    <xf numFmtId="165" fontId="1" fillId="4" borderId="7" xfId="0" applyNumberFormat="1" applyFont="1" applyFill="1" applyBorder="1" applyAlignment="1">
      <alignment horizontal="center" vertical="center"/>
    </xf>
    <xf numFmtId="165" fontId="1" fillId="4" borderId="5" xfId="0" applyNumberFormat="1" applyFont="1" applyFill="1" applyBorder="1" applyAlignment="1">
      <alignment horizontal="center" vertical="center"/>
    </xf>
    <xf numFmtId="165" fontId="1" fillId="4" borderId="8" xfId="0" applyNumberFormat="1" applyFont="1" applyFill="1" applyBorder="1" applyAlignment="1">
      <alignment horizontal="center" vertical="center"/>
    </xf>
    <xf numFmtId="165" fontId="1" fillId="4" borderId="2" xfId="0" applyNumberFormat="1" applyFont="1" applyFill="1" applyBorder="1" applyAlignment="1">
      <alignment horizontal="center" vertical="center"/>
    </xf>
    <xf numFmtId="165" fontId="1" fillId="4" borderId="0" xfId="0" applyNumberFormat="1" applyFont="1" applyFill="1" applyAlignment="1">
      <alignment horizontal="center" vertical="center"/>
    </xf>
    <xf numFmtId="165" fontId="1" fillId="4" borderId="10" xfId="0" applyNumberFormat="1" applyFont="1" applyFill="1" applyBorder="1" applyAlignment="1">
      <alignment horizontal="center" vertical="center"/>
    </xf>
    <xf numFmtId="165" fontId="1" fillId="4" borderId="11" xfId="0" applyNumberFormat="1" applyFont="1" applyFill="1" applyBorder="1" applyAlignment="1">
      <alignment horizontal="center" vertical="center"/>
    </xf>
    <xf numFmtId="0" fontId="1" fillId="4" borderId="1" xfId="0" applyFont="1" applyFill="1" applyBorder="1" applyAlignment="1">
      <alignment horizontal="center" vertical="center" shrinkToFit="1"/>
    </xf>
    <xf numFmtId="0" fontId="12" fillId="3" borderId="0" xfId="0" applyFont="1" applyFill="1" applyAlignment="1">
      <alignment horizontal="left" vertical="center" indent="1"/>
    </xf>
    <xf numFmtId="0" fontId="12" fillId="3" borderId="0" xfId="0" applyFont="1" applyFill="1" applyAlignment="1">
      <alignment horizontal="center" vertical="center" wrapText="1"/>
    </xf>
    <xf numFmtId="0" fontId="18" fillId="0" borderId="0" xfId="0" applyFont="1" applyAlignment="1">
      <alignment horizontal="left" vertical="center" wrapText="1"/>
    </xf>
    <xf numFmtId="0" fontId="0" fillId="0" borderId="0" xfId="0" applyAlignment="1">
      <alignment horizontal="left" vertical="center" wrapText="1" indent="1"/>
    </xf>
    <xf numFmtId="0" fontId="17" fillId="0" borderId="0" xfId="5" applyFont="1" applyFill="1" applyAlignment="1">
      <alignment horizontal="left" vertical="center" indent="2"/>
    </xf>
    <xf numFmtId="0" fontId="15" fillId="5" borderId="9" xfId="0" applyFont="1" applyFill="1" applyBorder="1" applyAlignment="1">
      <alignment vertical="center"/>
    </xf>
    <xf numFmtId="14" fontId="0" fillId="0" borderId="0" xfId="9" applyFont="1">
      <alignment horizontal="center" vertical="center"/>
    </xf>
    <xf numFmtId="37" fontId="0" fillId="0" borderId="0" xfId="10" applyFont="1">
      <alignment horizontal="center" vertical="center"/>
    </xf>
    <xf numFmtId="0" fontId="11" fillId="0" borderId="0" xfId="8" applyFont="1" applyFill="1" applyAlignment="1">
      <alignment horizontal="left" vertical="center" indent="2"/>
    </xf>
    <xf numFmtId="165" fontId="19" fillId="4" borderId="5" xfId="0" applyNumberFormat="1" applyFont="1" applyFill="1" applyBorder="1" applyAlignment="1">
      <alignment horizontal="center" vertical="center"/>
    </xf>
    <xf numFmtId="0" fontId="15" fillId="2" borderId="0" xfId="0" applyFont="1" applyFill="1" applyAlignment="1">
      <alignment vertical="center"/>
    </xf>
    <xf numFmtId="0" fontId="10" fillId="0" borderId="0" xfId="0" applyFont="1" applyAlignment="1">
      <alignment horizontal="center" vertical="center"/>
    </xf>
    <xf numFmtId="0" fontId="9" fillId="0" borderId="0" xfId="0" applyFont="1" applyAlignment="1">
      <alignment horizontal="center" vertical="center"/>
    </xf>
    <xf numFmtId="0" fontId="16" fillId="2" borderId="0" xfId="5" applyFont="1" applyFill="1" applyAlignment="1">
      <alignment horizontal="left" vertical="center" indent="1"/>
    </xf>
    <xf numFmtId="0" fontId="11" fillId="2" borderId="0" xfId="0" applyFont="1" applyFill="1" applyAlignment="1">
      <alignment horizontal="center" vertical="center"/>
    </xf>
    <xf numFmtId="0" fontId="3" fillId="2" borderId="0" xfId="0" applyFont="1" applyFill="1" applyAlignment="1">
      <alignment horizontal="center" vertical="center"/>
    </xf>
    <xf numFmtId="0" fontId="3" fillId="0" borderId="0" xfId="0" applyFont="1" applyAlignment="1">
      <alignment horizontal="left"/>
    </xf>
    <xf numFmtId="0" fontId="17" fillId="0" borderId="0" xfId="5" applyFont="1" applyFill="1" applyAlignment="1">
      <alignment vertical="center"/>
    </xf>
    <xf numFmtId="0" fontId="21" fillId="0" borderId="0" xfId="0" applyFont="1" applyAlignment="1">
      <alignment horizontal="left"/>
    </xf>
    <xf numFmtId="0" fontId="3" fillId="0" borderId="0" xfId="0" applyFont="1" applyAlignment="1">
      <alignment horizontal="right" vertical="center"/>
    </xf>
    <xf numFmtId="0" fontId="23" fillId="0" borderId="0" xfId="0" applyFont="1"/>
    <xf numFmtId="0" fontId="22" fillId="6" borderId="0" xfId="0" applyFont="1" applyFill="1" applyAlignment="1">
      <alignment horizontal="center" vertical="center"/>
    </xf>
    <xf numFmtId="0" fontId="9" fillId="7" borderId="0" xfId="0" applyFont="1" applyFill="1" applyAlignment="1">
      <alignment horizontal="center" vertical="center"/>
    </xf>
    <xf numFmtId="0" fontId="22" fillId="8" borderId="0" xfId="0" applyFont="1" applyFill="1" applyAlignment="1">
      <alignment horizontal="center" vertical="center"/>
    </xf>
  </cellXfs>
  <cellStyles count="11">
    <cellStyle name="Comma" xfId="4" builtinId="3" customBuiltin="1"/>
    <cellStyle name="Comma [0]" xfId="10" builtinId="6" customBuiltin="1"/>
    <cellStyle name="Date" xfId="9"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ormal" xfId="0" builtinId="0"/>
    <cellStyle name="Percent" xfId="2" builtinId="5" customBuiltin="1"/>
    <cellStyle name="Title" xfId="5" builtinId="15" customBuiltin="1"/>
    <cellStyle name="zHiddenText" xfId="3" xr:uid="{26E66EE6-E33F-4D77-BAE4-0FB4F5BBF673}"/>
  </cellStyles>
  <dxfs count="49">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color auto="1"/>
      </font>
      <fill>
        <patternFill>
          <bgColor theme="0" tint="-0.14996795556505021"/>
        </patternFill>
      </fill>
      <border>
        <left/>
        <right/>
        <top/>
        <bottom style="thin">
          <color theme="0" tint="-0.34998626667073579"/>
        </bottom>
      </border>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dxf>
    <dxf>
      <font>
        <b val="0"/>
        <i val="0"/>
        <strike val="0"/>
        <condense val="0"/>
        <extend val="0"/>
        <outline val="0"/>
        <shadow val="0"/>
        <u val="none"/>
        <vertAlign val="baseline"/>
        <sz val="11"/>
        <color auto="1"/>
        <name val="Calibri"/>
        <family val="2"/>
        <scheme val="minor"/>
      </font>
      <numFmt numFmtId="19" formatCode="dd/mm/yyyy"/>
      <fill>
        <patternFill patternType="none">
          <fgColor indexed="64"/>
          <bgColor indexed="65"/>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1" tint="0.24994659260841701"/>
          <bgColor theme="1" tint="0.24994659260841701"/>
        </patternFill>
      </fill>
      <border diagonalUp="0" diagonalDown="0">
        <left/>
        <right/>
        <top/>
        <bottom/>
        <vertical/>
        <horizontal/>
      </border>
    </dxf>
    <dxf>
      <font>
        <color auto="1"/>
      </font>
      <border diagonalUp="0" diagonalDown="0">
        <left/>
        <right/>
        <top/>
        <bottom/>
        <vertical/>
        <horizontal/>
      </border>
    </dxf>
    <dxf>
      <font>
        <color theme="0"/>
      </font>
      <fill>
        <patternFill>
          <bgColor theme="1" tint="0.24994659260841701"/>
        </patternFill>
      </fill>
    </dxf>
    <dxf>
      <font>
        <color theme="0"/>
      </font>
      <fill>
        <patternFill patternType="solid">
          <fgColor indexed="64"/>
          <bgColor theme="1" tint="0.34998626667073579"/>
        </patternFill>
      </fill>
      <border diagonalUp="0" diagonalDown="0">
        <left/>
        <right/>
        <top/>
        <bottom/>
        <vertical/>
        <horizontal/>
      </border>
    </dxf>
    <dxf>
      <font>
        <color auto="1"/>
      </font>
      <fill>
        <patternFill>
          <fgColor theme="0" tint="-0.14996795556505021"/>
          <bgColor theme="0" tint="-0.14993743705557422"/>
        </patternFill>
      </fill>
      <border diagonalUp="0" diagonalDown="0">
        <left/>
        <right/>
        <top/>
        <bottom/>
        <vertical/>
        <horizontal/>
      </border>
    </dxf>
    <dxf>
      <font>
        <strike val="0"/>
        <color auto="1"/>
      </font>
      <border diagonalUp="0" diagonalDown="0">
        <left/>
        <right/>
        <top/>
        <bottom/>
        <vertical/>
        <horizontal/>
      </border>
    </dxf>
  </dxfs>
  <tableStyles count="2" defaultTableStyle="Gantt Table Style" defaultPivotStyle="PivotStyleLight16">
    <tableStyle name="Gantt Table Style" pivot="0" count="4" xr9:uid="{4904D139-63E4-4221-B7C9-C6C5B7A50FAF}">
      <tableStyleElement type="wholeTable" dxfId="48"/>
      <tableStyleElement type="headerRow" dxfId="47"/>
      <tableStyleElement type="firstRowStripe" dxfId="46"/>
      <tableStyleElement type="secondRowStripe" dxfId="45"/>
    </tableStyle>
    <tableStyle name="ToDoList" pivot="0" count="9" xr9:uid="{00000000-0011-0000-FFFF-FFFF00000000}">
      <tableStyleElement type="wholeTable" dxfId="44"/>
      <tableStyleElement type="headerRow" dxfId="43"/>
      <tableStyleElement type="totalRow" dxfId="42"/>
      <tableStyleElement type="firstColumn" dxfId="41"/>
      <tableStyleElement type="lastColumn" dxfId="40"/>
      <tableStyleElement type="firstRowStripe" dxfId="39"/>
      <tableStyleElement type="secondRowStripe" dxfId="38"/>
      <tableStyleElement type="firstColumnStripe" dxfId="37"/>
      <tableStyleElement type="secondColumnStripe" dxfId="3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33CC33"/>
      <color rgb="FF969696"/>
      <color rgb="FF000000"/>
      <color rgb="FF215881"/>
      <color rgb="FF42648A"/>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ilestones4352" displayName="Milestones4352" ref="B9:F26" totalsRowShown="0" headerRowDxfId="35" dataDxfId="34">
  <autoFilter ref="B9:F26" xr:uid="{29E5A880-80D5-4B65-B5FB-8FB3913D3D27}">
    <filterColumn colId="0" hiddenButton="1"/>
    <filterColumn colId="1" hiddenButton="1"/>
    <filterColumn colId="2" hiddenButton="1"/>
    <filterColumn colId="3" hiddenButton="1"/>
    <filterColumn colId="4" hiddenButton="1"/>
  </autoFilter>
  <tableColumns count="5">
    <tableColumn id="1" xr3:uid="{619BF8F6-D0F1-41AD-871D-FE0240C45A93}" name="Descricão" dataDxfId="33"/>
    <tableColumn id="2" xr3:uid="{39BD914E-FB02-4352-846C-6D59624DC0B0}" name="Category" dataDxfId="29"/>
    <tableColumn id="5" xr3:uid="{02926609-7B93-4B6F-BE96-92EC7A949E4B}" name="Ínicio" dataDxfId="32" dataCellStyle="Date"/>
    <tableColumn id="3" xr3:uid="{B0252786-6F02-4471-BB04-C8505FE08EA2}" name="Fim" dataDxfId="31" dataCellStyle="Date">
      <calculatedColumnFormula>Milestones4352[[#This Row],[Ínicio]]+Milestones4352[[#This Row],[Nº Dias]]-1</calculatedColumnFormula>
    </tableColumn>
    <tableColumn id="6" xr3:uid="{8FF9BE8E-04B7-4B39-AC27-D2E534204BC3}" name="Nº Dias" dataDxfId="30"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DF27"/>
  <sheetViews>
    <sheetView showGridLines="0" tabSelected="1" showRuler="0" zoomScale="55" zoomScaleNormal="55" zoomScalePageLayoutView="70" workbookViewId="0">
      <selection activeCell="DI6" sqref="DI6"/>
    </sheetView>
  </sheetViews>
  <sheetFormatPr defaultColWidth="8.81640625" defaultRowHeight="30" customHeight="1" x14ac:dyDescent="0.35"/>
  <cols>
    <col min="1" max="1" width="4.7265625" style="4" customWidth="1"/>
    <col min="2" max="2" width="70.54296875" bestFit="1" customWidth="1"/>
    <col min="3" max="3" width="13.26953125" hidden="1" customWidth="1"/>
    <col min="4" max="4" width="15.453125" style="2" customWidth="1"/>
    <col min="5" max="5" width="18.90625" style="2" customWidth="1"/>
    <col min="6" max="6" width="10.453125" customWidth="1"/>
    <col min="7" max="7" width="2.7265625" customWidth="1"/>
    <col min="8" max="19" width="3.54296875" customWidth="1"/>
    <col min="20" max="20" width="3.08984375" customWidth="1"/>
    <col min="21" max="109" width="3.54296875" customWidth="1"/>
    <col min="110" max="110" width="4.26953125" customWidth="1"/>
  </cols>
  <sheetData>
    <row r="1" spans="1:110" ht="25.15" customHeight="1" x14ac:dyDescent="0.35"/>
    <row r="2" spans="1:110" ht="49.9" customHeight="1" x14ac:dyDescent="0.35">
      <c r="A2" s="5"/>
      <c r="B2" s="53" t="s">
        <v>25</v>
      </c>
      <c r="C2" s="53"/>
      <c r="D2" s="53"/>
      <c r="E2" s="53"/>
      <c r="F2" s="53"/>
      <c r="G2" s="53"/>
      <c r="H2" s="54"/>
      <c r="I2" s="54"/>
      <c r="J2" s="54"/>
      <c r="K2" s="54"/>
      <c r="L2" s="54"/>
      <c r="M2" s="54"/>
      <c r="N2" s="55"/>
      <c r="O2" s="55"/>
      <c r="P2" s="55"/>
      <c r="Q2" s="55"/>
      <c r="R2" s="55"/>
      <c r="S2" s="55"/>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row>
    <row r="3" spans="1:110" ht="19.899999999999999" customHeight="1" x14ac:dyDescent="0.35">
      <c r="A3" s="5"/>
      <c r="B3" s="17"/>
      <c r="C3" s="18"/>
      <c r="D3" s="20"/>
      <c r="E3" s="20"/>
      <c r="F3" s="19"/>
      <c r="G3" s="19"/>
      <c r="H3" s="29"/>
      <c r="I3" s="1"/>
      <c r="J3" s="1"/>
      <c r="K3" s="1"/>
    </row>
    <row r="4" spans="1:110" ht="30" customHeight="1" x14ac:dyDescent="0.35">
      <c r="A4" s="5"/>
      <c r="B4" s="21"/>
      <c r="C4" s="22"/>
      <c r="D4" s="57"/>
      <c r="E4" s="25"/>
      <c r="F4" s="59" t="s">
        <v>29</v>
      </c>
      <c r="G4" s="24"/>
      <c r="H4" s="61" t="s">
        <v>8</v>
      </c>
      <c r="I4" s="61"/>
      <c r="J4" s="61"/>
      <c r="K4" s="61"/>
      <c r="L4" s="60"/>
      <c r="M4" s="62" t="s">
        <v>9</v>
      </c>
      <c r="N4" s="62"/>
      <c r="O4" s="62"/>
      <c r="P4" s="62"/>
      <c r="Q4" s="60"/>
      <c r="R4" s="63" t="s">
        <v>21</v>
      </c>
      <c r="S4" s="63"/>
      <c r="T4" s="63"/>
      <c r="U4" s="63"/>
      <c r="W4" s="51"/>
      <c r="X4" s="51"/>
      <c r="Y4" s="51"/>
      <c r="Z4" s="51"/>
      <c r="AB4" s="52"/>
      <c r="AC4" s="52"/>
      <c r="AD4" s="52"/>
      <c r="AE4" s="52"/>
    </row>
    <row r="5" spans="1:110" ht="30" customHeight="1" x14ac:dyDescent="0.35">
      <c r="A5" s="5"/>
      <c r="B5" s="44" t="s">
        <v>26</v>
      </c>
      <c r="C5" s="23"/>
      <c r="D5" s="58"/>
      <c r="E5" s="25"/>
      <c r="F5" s="24"/>
      <c r="G5" s="24"/>
    </row>
    <row r="6" spans="1:110" ht="30" customHeight="1" x14ac:dyDescent="0.35">
      <c r="A6" s="5"/>
      <c r="B6" s="48" t="s">
        <v>27</v>
      </c>
      <c r="C6" s="26">
        <v>45958</v>
      </c>
      <c r="D6" s="56"/>
      <c r="E6" s="25"/>
      <c r="F6" s="24"/>
      <c r="G6" s="24"/>
      <c r="H6" s="31" t="str">
        <f>TEXT(H7,"mmmm")</f>
        <v>outubro</v>
      </c>
      <c r="I6" s="31"/>
      <c r="J6" s="31"/>
      <c r="K6" s="31"/>
      <c r="L6" s="31"/>
      <c r="M6" s="31"/>
      <c r="N6" s="31"/>
      <c r="O6" s="31" t="str">
        <f>IF(TEXT(O7,"mmmm")=H6,"",TEXT(O7,"mmmm"))</f>
        <v>novembro</v>
      </c>
      <c r="P6" s="31"/>
      <c r="Q6" s="31"/>
      <c r="R6" s="31"/>
      <c r="S6" s="31"/>
      <c r="T6" s="31"/>
      <c r="U6" s="31"/>
      <c r="V6" s="31" t="str">
        <f>IF(OR(TEXT(V7,"mmmm")=O6,TEXT(V7,"mmmm")=H6),"",TEXT(V7,"mmmm"))</f>
        <v/>
      </c>
      <c r="W6" s="31"/>
      <c r="X6" s="31"/>
      <c r="Y6" s="31"/>
      <c r="Z6" s="31"/>
      <c r="AA6" s="31"/>
      <c r="AB6" s="31"/>
      <c r="AC6" s="31" t="str">
        <f>IF(OR(TEXT(AC7,"mmmm")=V6,TEXT(AC7,"mmmm")=O6,TEXT(AC7,"mmmm")=H6),"",TEXT(AC7,"mmmm"))</f>
        <v/>
      </c>
      <c r="AD6" s="31"/>
      <c r="AE6" s="31"/>
      <c r="AF6" s="31"/>
      <c r="AG6" s="31"/>
      <c r="AH6" s="31"/>
      <c r="AI6" s="31"/>
      <c r="AJ6" s="31" t="str">
        <f>IF(OR(TEXT(AJ7,"mmmm")=AC6,TEXT(AJ7,"mmmm")=V6,TEXT(AJ7,"mmmm")=O6,TEXT(AJ7,"mmmm")=H6),"",TEXT(AJ7,"mmmm"))</f>
        <v/>
      </c>
      <c r="AK6" s="31"/>
      <c r="AL6" s="31"/>
      <c r="AM6" s="31"/>
      <c r="AN6" s="31"/>
      <c r="AO6" s="31"/>
      <c r="AP6" s="31"/>
      <c r="AQ6" s="31" t="str">
        <f>IF(OR(TEXT(AQ7,"mmmm")=AJ6,TEXT(AQ7,"mmmm")=AC6,TEXT(AQ7,"mmmm")=V6,TEXT(AQ7,"mmmm")=O6),"",TEXT(AQ7,"mmmm"))</f>
        <v>dezembro</v>
      </c>
      <c r="AR6" s="31"/>
      <c r="AS6" s="31"/>
      <c r="AT6" s="31"/>
      <c r="AU6" s="31"/>
      <c r="AV6" s="31"/>
      <c r="AW6" s="31"/>
      <c r="AX6" s="31" t="str">
        <f>IF(OR(TEXT(AX7,"mmmm")=AQ6,TEXT(AX7,"mmmm")=AJ6,TEXT(AX7,"mmmm")=AC6,TEXT(AX7,"mmmm")=V6),"",TEXT(AX7,"mmmm"))</f>
        <v/>
      </c>
      <c r="AY6" s="31"/>
      <c r="AZ6" s="31"/>
      <c r="BA6" s="31"/>
      <c r="BB6" s="31"/>
      <c r="BC6" s="31"/>
      <c r="BD6" s="31"/>
      <c r="BE6" s="31" t="str">
        <f>IF(OR(TEXT(BE7,"mmmm")=AX6,TEXT(BE7,"mmmm")=AQ6,TEXT(BE7,"mmmm")=AJ6,TEXT(BE7,"mmmm")=AC6),"",TEXT(BE7,"mmmm"))</f>
        <v/>
      </c>
      <c r="BF6" s="31"/>
      <c r="BG6" s="31"/>
      <c r="BH6" s="31"/>
      <c r="BI6" s="31"/>
      <c r="BJ6" s="31"/>
      <c r="BK6" s="31"/>
      <c r="BL6" s="31"/>
      <c r="BM6" s="31"/>
      <c r="BN6" s="31"/>
      <c r="BO6" s="31"/>
      <c r="BP6" s="31"/>
      <c r="BQ6" s="31"/>
      <c r="BR6" s="31"/>
      <c r="BS6" s="31"/>
      <c r="BT6" s="31"/>
      <c r="BU6" s="16"/>
      <c r="BV6" s="16"/>
      <c r="BW6" s="16"/>
      <c r="BX6" s="50" t="str">
        <f>IF(TEXT(BX7,"mmmm")=BQ6,"",TEXT(BX7,"mmmm"))</f>
        <v>janeiro</v>
      </c>
      <c r="BY6" s="16"/>
      <c r="BZ6" s="16"/>
      <c r="CA6" s="16"/>
      <c r="CB6" s="16"/>
      <c r="CC6" s="16"/>
      <c r="CD6" s="16"/>
      <c r="CE6" s="16"/>
      <c r="CF6" s="16"/>
      <c r="CG6" s="16"/>
      <c r="CH6" s="16"/>
      <c r="CI6" s="16"/>
      <c r="CJ6" s="16"/>
      <c r="CK6" s="16"/>
      <c r="CL6" s="16"/>
      <c r="CM6" s="16"/>
      <c r="CN6" s="16"/>
      <c r="CO6" s="16"/>
      <c r="CP6" s="16"/>
      <c r="CQ6" s="16"/>
      <c r="CR6" s="16"/>
      <c r="CS6" s="16"/>
      <c r="CT6" s="16"/>
      <c r="CU6" s="16"/>
      <c r="CV6" s="16"/>
      <c r="CW6" s="16"/>
      <c r="CX6" s="16"/>
      <c r="CY6" s="16"/>
      <c r="CZ6" s="45"/>
      <c r="DA6" s="45"/>
      <c r="DB6" s="45" t="str">
        <f>IF(TEXT(DB7,"mmmm")=CU6,"",TEXT(DB7,"mmmm"))</f>
        <v>fevereiro</v>
      </c>
      <c r="DC6" s="45"/>
      <c r="DD6" s="45"/>
      <c r="DE6" s="45"/>
      <c r="DF6" s="45"/>
    </row>
    <row r="7" spans="1:110" ht="30" customHeight="1" x14ac:dyDescent="0.35">
      <c r="A7" s="5"/>
      <c r="B7" s="48" t="s">
        <v>28</v>
      </c>
      <c r="C7" s="27">
        <v>0</v>
      </c>
      <c r="D7" s="56"/>
      <c r="E7" s="24"/>
      <c r="F7" s="24"/>
      <c r="G7" s="28"/>
      <c r="H7" s="32">
        <f>IFERROR(Project_Start+Scrolling_Increment,28/10/2025)</f>
        <v>45958</v>
      </c>
      <c r="I7" s="33">
        <f>H7+1</f>
        <v>45959</v>
      </c>
      <c r="J7" s="33">
        <f t="shared" ref="J7:AW7" si="0">I7+1</f>
        <v>45960</v>
      </c>
      <c r="K7" s="33">
        <f t="shared" si="0"/>
        <v>45961</v>
      </c>
      <c r="L7" s="33">
        <f t="shared" si="0"/>
        <v>45962</v>
      </c>
      <c r="M7" s="33">
        <f t="shared" si="0"/>
        <v>45963</v>
      </c>
      <c r="N7" s="34">
        <f t="shared" si="0"/>
        <v>45964</v>
      </c>
      <c r="O7" s="33">
        <f>N7+1</f>
        <v>45965</v>
      </c>
      <c r="P7" s="33">
        <f>O7+1</f>
        <v>45966</v>
      </c>
      <c r="Q7" s="33">
        <f t="shared" si="0"/>
        <v>45967</v>
      </c>
      <c r="R7" s="33">
        <f t="shared" si="0"/>
        <v>45968</v>
      </c>
      <c r="S7" s="33">
        <f t="shared" si="0"/>
        <v>45969</v>
      </c>
      <c r="T7" s="33">
        <f t="shared" si="0"/>
        <v>45970</v>
      </c>
      <c r="U7" s="34">
        <f t="shared" si="0"/>
        <v>45971</v>
      </c>
      <c r="V7" s="33">
        <f>U7+1</f>
        <v>45972</v>
      </c>
      <c r="W7" s="33">
        <f>V7+1</f>
        <v>45973</v>
      </c>
      <c r="X7" s="33">
        <f t="shared" si="0"/>
        <v>45974</v>
      </c>
      <c r="Y7" s="33">
        <f t="shared" si="0"/>
        <v>45975</v>
      </c>
      <c r="Z7" s="33">
        <f t="shared" si="0"/>
        <v>45976</v>
      </c>
      <c r="AA7" s="49">
        <f t="shared" si="0"/>
        <v>45977</v>
      </c>
      <c r="AB7" s="34">
        <f t="shared" si="0"/>
        <v>45978</v>
      </c>
      <c r="AC7" s="33">
        <f>AB7+1</f>
        <v>45979</v>
      </c>
      <c r="AD7" s="33">
        <f>AC7+1</f>
        <v>45980</v>
      </c>
      <c r="AE7" s="33">
        <f t="shared" si="0"/>
        <v>45981</v>
      </c>
      <c r="AF7" s="33">
        <f t="shared" si="0"/>
        <v>45982</v>
      </c>
      <c r="AG7" s="33">
        <f t="shared" si="0"/>
        <v>45983</v>
      </c>
      <c r="AH7" s="33">
        <f t="shared" si="0"/>
        <v>45984</v>
      </c>
      <c r="AI7" s="34">
        <f t="shared" si="0"/>
        <v>45985</v>
      </c>
      <c r="AJ7" s="33">
        <f>AI7+1</f>
        <v>45986</v>
      </c>
      <c r="AK7" s="33">
        <f>AJ7+1</f>
        <v>45987</v>
      </c>
      <c r="AL7" s="33">
        <f t="shared" si="0"/>
        <v>45988</v>
      </c>
      <c r="AM7" s="33">
        <f t="shared" si="0"/>
        <v>45989</v>
      </c>
      <c r="AN7" s="33">
        <f t="shared" si="0"/>
        <v>45990</v>
      </c>
      <c r="AO7" s="33">
        <f t="shared" si="0"/>
        <v>45991</v>
      </c>
      <c r="AP7" s="34">
        <f t="shared" si="0"/>
        <v>45992</v>
      </c>
      <c r="AQ7" s="33">
        <f>AP7+1</f>
        <v>45993</v>
      </c>
      <c r="AR7" s="33">
        <f>AQ7+1</f>
        <v>45994</v>
      </c>
      <c r="AS7" s="33">
        <f t="shared" si="0"/>
        <v>45995</v>
      </c>
      <c r="AT7" s="33">
        <f t="shared" si="0"/>
        <v>45996</v>
      </c>
      <c r="AU7" s="33">
        <f t="shared" si="0"/>
        <v>45997</v>
      </c>
      <c r="AV7" s="33">
        <f t="shared" si="0"/>
        <v>45998</v>
      </c>
      <c r="AW7" s="33">
        <f t="shared" si="0"/>
        <v>45999</v>
      </c>
      <c r="AX7" s="33">
        <f>AW7+1</f>
        <v>46000</v>
      </c>
      <c r="AY7" s="33">
        <f>AX7+1</f>
        <v>46001</v>
      </c>
      <c r="AZ7" s="33">
        <f t="shared" ref="AZ7:BD7" si="1">AY7+1</f>
        <v>46002</v>
      </c>
      <c r="BA7" s="33">
        <f t="shared" si="1"/>
        <v>46003</v>
      </c>
      <c r="BB7" s="33">
        <f t="shared" si="1"/>
        <v>46004</v>
      </c>
      <c r="BC7" s="33">
        <f t="shared" si="1"/>
        <v>46005</v>
      </c>
      <c r="BD7" s="33">
        <f t="shared" si="1"/>
        <v>46006</v>
      </c>
      <c r="BE7" s="33">
        <f>BD7+1</f>
        <v>46007</v>
      </c>
      <c r="BF7" s="33">
        <f>BE7+1</f>
        <v>46008</v>
      </c>
      <c r="BG7" s="33">
        <f t="shared" ref="BG7:BK7" si="2">BF7+1</f>
        <v>46009</v>
      </c>
      <c r="BH7" s="33">
        <f t="shared" si="2"/>
        <v>46010</v>
      </c>
      <c r="BI7" s="33">
        <f t="shared" si="2"/>
        <v>46011</v>
      </c>
      <c r="BJ7" s="33">
        <f t="shared" si="2"/>
        <v>46012</v>
      </c>
      <c r="BK7" s="33">
        <f t="shared" si="2"/>
        <v>46013</v>
      </c>
      <c r="BL7" s="33">
        <f t="shared" ref="BL7" si="3">BK7+1</f>
        <v>46014</v>
      </c>
      <c r="BM7" s="33">
        <f t="shared" ref="BM7" si="4">BL7+1</f>
        <v>46015</v>
      </c>
      <c r="BN7" s="33">
        <f t="shared" ref="BN7" si="5">BM7+1</f>
        <v>46016</v>
      </c>
      <c r="BO7" s="33">
        <f t="shared" ref="BO7" si="6">BN7+1</f>
        <v>46017</v>
      </c>
      <c r="BP7" s="33">
        <f t="shared" ref="BP7" si="7">BO7+1</f>
        <v>46018</v>
      </c>
      <c r="BQ7" s="33">
        <f t="shared" ref="BQ7" si="8">BP7+1</f>
        <v>46019</v>
      </c>
      <c r="BR7" s="33">
        <f t="shared" ref="BR7" si="9">BQ7+1</f>
        <v>46020</v>
      </c>
      <c r="BS7" s="33">
        <f t="shared" ref="BS7" si="10">BR7+1</f>
        <v>46021</v>
      </c>
      <c r="BT7" s="33">
        <f t="shared" ref="BT7" si="11">BS7+1</f>
        <v>46022</v>
      </c>
      <c r="BU7" s="33">
        <f t="shared" ref="BU7" si="12">BT7+1</f>
        <v>46023</v>
      </c>
      <c r="BV7" s="33">
        <f t="shared" ref="BV7" si="13">BU7+1</f>
        <v>46024</v>
      </c>
      <c r="BW7" s="33">
        <f t="shared" ref="BW7" si="14">BV7+1</f>
        <v>46025</v>
      </c>
      <c r="BX7" s="33">
        <f t="shared" ref="BX7" si="15">BW7+1</f>
        <v>46026</v>
      </c>
      <c r="BY7" s="33">
        <f t="shared" ref="BY7" si="16">BX7+1</f>
        <v>46027</v>
      </c>
      <c r="BZ7" s="33">
        <f t="shared" ref="BZ7" si="17">BY7+1</f>
        <v>46028</v>
      </c>
      <c r="CA7" s="33">
        <f t="shared" ref="CA7" si="18">BZ7+1</f>
        <v>46029</v>
      </c>
      <c r="CB7" s="33">
        <f t="shared" ref="CB7" si="19">CA7+1</f>
        <v>46030</v>
      </c>
      <c r="CC7" s="33">
        <f t="shared" ref="CC7" si="20">CB7+1</f>
        <v>46031</v>
      </c>
      <c r="CD7" s="33">
        <f t="shared" ref="CD7" si="21">CC7+1</f>
        <v>46032</v>
      </c>
      <c r="CE7" s="33">
        <f t="shared" ref="CE7" si="22">CD7+1</f>
        <v>46033</v>
      </c>
      <c r="CF7" s="33">
        <f t="shared" ref="CF7" si="23">CE7+1</f>
        <v>46034</v>
      </c>
      <c r="CG7" s="33">
        <f t="shared" ref="CG7" si="24">CF7+1</f>
        <v>46035</v>
      </c>
      <c r="CH7" s="33">
        <f t="shared" ref="CH7" si="25">CG7+1</f>
        <v>46036</v>
      </c>
      <c r="CI7" s="33">
        <f t="shared" ref="CI7" si="26">CH7+1</f>
        <v>46037</v>
      </c>
      <c r="CJ7" s="33">
        <f t="shared" ref="CJ7" si="27">CI7+1</f>
        <v>46038</v>
      </c>
      <c r="CK7" s="33">
        <f t="shared" ref="CK7" si="28">CJ7+1</f>
        <v>46039</v>
      </c>
      <c r="CL7" s="33">
        <f t="shared" ref="CL7" si="29">CK7+1</f>
        <v>46040</v>
      </c>
      <c r="CM7" s="33">
        <f t="shared" ref="CM7" si="30">CL7+1</f>
        <v>46041</v>
      </c>
      <c r="CN7" s="33">
        <f t="shared" ref="CN7" si="31">CM7+1</f>
        <v>46042</v>
      </c>
      <c r="CO7" s="33">
        <f t="shared" ref="CO7" si="32">CN7+1</f>
        <v>46043</v>
      </c>
      <c r="CP7" s="33">
        <f t="shared" ref="CP7" si="33">CO7+1</f>
        <v>46044</v>
      </c>
      <c r="CQ7" s="33">
        <f t="shared" ref="CQ7" si="34">CP7+1</f>
        <v>46045</v>
      </c>
      <c r="CR7" s="33">
        <f t="shared" ref="CR7" si="35">CQ7+1</f>
        <v>46046</v>
      </c>
      <c r="CS7" s="33">
        <f t="shared" ref="CS7" si="36">CR7+1</f>
        <v>46047</v>
      </c>
      <c r="CT7" s="33">
        <f t="shared" ref="CT7" si="37">CS7+1</f>
        <v>46048</v>
      </c>
      <c r="CU7" s="33">
        <f t="shared" ref="CU7" si="38">CT7+1</f>
        <v>46049</v>
      </c>
      <c r="CV7" s="33">
        <f t="shared" ref="CV7" si="39">CU7+1</f>
        <v>46050</v>
      </c>
      <c r="CW7" s="33">
        <f t="shared" ref="CW7" si="40">CV7+1</f>
        <v>46051</v>
      </c>
      <c r="CX7" s="33">
        <f t="shared" ref="CX7" si="41">CW7+1</f>
        <v>46052</v>
      </c>
      <c r="CY7" s="33">
        <f t="shared" ref="CY7" si="42">CX7+1</f>
        <v>46053</v>
      </c>
      <c r="CZ7" s="33">
        <f t="shared" ref="CZ7" si="43">CY7+1</f>
        <v>46054</v>
      </c>
      <c r="DA7" s="33">
        <f t="shared" ref="DA7" si="44">CZ7+1</f>
        <v>46055</v>
      </c>
      <c r="DB7" s="33">
        <f t="shared" ref="DB7" si="45">DA7+1</f>
        <v>46056</v>
      </c>
      <c r="DC7" s="33">
        <f t="shared" ref="DC7" si="46">DB7+1</f>
        <v>46057</v>
      </c>
      <c r="DD7" s="33">
        <f t="shared" ref="DD7" si="47">DC7+1</f>
        <v>46058</v>
      </c>
      <c r="DE7" s="33">
        <f t="shared" ref="DE7:DF7" si="48">DD7+1</f>
        <v>46059</v>
      </c>
      <c r="DF7" s="33">
        <f t="shared" si="48"/>
        <v>46060</v>
      </c>
    </row>
    <row r="8" spans="1:110" ht="19.899999999999999" customHeight="1" x14ac:dyDescent="0.35">
      <c r="A8" s="5"/>
      <c r="B8" s="23"/>
      <c r="C8" s="23"/>
      <c r="D8" s="24"/>
      <c r="E8" s="24"/>
      <c r="F8" s="24"/>
      <c r="G8" s="28"/>
      <c r="H8" s="35"/>
      <c r="I8" s="36"/>
      <c r="J8" s="36"/>
      <c r="K8" s="36"/>
      <c r="L8" s="36"/>
      <c r="M8" s="36"/>
      <c r="N8" s="36"/>
      <c r="O8" s="37"/>
      <c r="P8" s="36"/>
      <c r="Q8" s="36"/>
      <c r="R8" s="36"/>
      <c r="S8" s="36"/>
      <c r="T8" s="36"/>
      <c r="U8" s="38"/>
      <c r="V8" s="37"/>
      <c r="W8" s="36"/>
      <c r="X8" s="36"/>
      <c r="Y8" s="36"/>
      <c r="Z8" s="36"/>
      <c r="AA8" s="36"/>
      <c r="AB8" s="38"/>
      <c r="AC8" s="36"/>
      <c r="AD8" s="36"/>
      <c r="AE8" s="36"/>
      <c r="AF8" s="36"/>
      <c r="AG8" s="36"/>
      <c r="AH8" s="36"/>
      <c r="AI8" s="38"/>
      <c r="AJ8" s="36"/>
      <c r="AK8" s="36"/>
      <c r="AL8" s="36"/>
      <c r="AM8" s="36"/>
      <c r="AN8" s="36"/>
      <c r="AO8" s="36"/>
      <c r="AP8" s="38"/>
      <c r="AQ8" s="36"/>
      <c r="AR8" s="36"/>
      <c r="AS8" s="36"/>
      <c r="AT8" s="36"/>
      <c r="AU8" s="36"/>
      <c r="AV8" s="36"/>
      <c r="AW8" s="36"/>
      <c r="AX8" s="36"/>
      <c r="AY8" s="36"/>
      <c r="AZ8" s="36"/>
      <c r="BA8" s="36"/>
      <c r="BB8" s="36"/>
      <c r="BC8" s="36"/>
      <c r="BD8" s="36"/>
      <c r="BE8" s="36"/>
      <c r="BF8" s="36"/>
      <c r="BG8" s="36"/>
      <c r="BH8" s="36"/>
      <c r="BI8" s="36"/>
      <c r="BJ8" s="36"/>
      <c r="BK8" s="36"/>
      <c r="BL8" s="36"/>
      <c r="BM8" s="36"/>
      <c r="BN8" s="36"/>
      <c r="BO8" s="36"/>
      <c r="BP8" s="36"/>
      <c r="BQ8" s="36"/>
      <c r="BR8" s="36"/>
      <c r="BS8" s="36"/>
      <c r="BT8" s="36"/>
      <c r="BU8" s="36"/>
      <c r="BV8" s="36"/>
      <c r="BW8" s="36"/>
      <c r="BX8" s="36"/>
      <c r="BY8" s="36"/>
      <c r="BZ8" s="36"/>
      <c r="CA8" s="36"/>
      <c r="CB8" s="36"/>
      <c r="CC8" s="36"/>
      <c r="CD8" s="36"/>
      <c r="CE8" s="36"/>
      <c r="CF8" s="36"/>
      <c r="CG8" s="36"/>
      <c r="CH8" s="36"/>
      <c r="CI8" s="36"/>
      <c r="CJ8" s="36"/>
      <c r="CK8" s="36"/>
      <c r="CL8" s="36"/>
      <c r="CM8" s="36"/>
      <c r="CN8" s="36"/>
      <c r="CO8" s="36"/>
      <c r="CP8" s="36"/>
      <c r="CQ8" s="36"/>
      <c r="CR8" s="36"/>
      <c r="CS8" s="36"/>
      <c r="CT8" s="36"/>
      <c r="CU8" s="36"/>
      <c r="CV8" s="36"/>
      <c r="CW8" s="36"/>
      <c r="CX8" s="36"/>
      <c r="CY8" s="36"/>
      <c r="CZ8" s="36"/>
      <c r="DA8" s="36"/>
      <c r="DB8" s="36"/>
      <c r="DC8" s="36"/>
      <c r="DD8" s="36"/>
      <c r="DE8" s="36"/>
      <c r="DF8" s="36"/>
    </row>
    <row r="9" spans="1:110" ht="40.15" customHeight="1" x14ac:dyDescent="0.35">
      <c r="A9" s="5"/>
      <c r="B9" s="40" t="s">
        <v>12</v>
      </c>
      <c r="C9" s="41" t="s">
        <v>0</v>
      </c>
      <c r="D9" s="41" t="s">
        <v>22</v>
      </c>
      <c r="E9" s="41" t="s">
        <v>23</v>
      </c>
      <c r="F9" s="41" t="s">
        <v>24</v>
      </c>
      <c r="G9" s="30"/>
      <c r="H9" s="39" t="str">
        <f t="shared" ref="H9:BK9" si="49">LEFT(TEXT(H7,"ddd"),1)</f>
        <v>t</v>
      </c>
      <c r="I9" s="39" t="str">
        <f t="shared" si="49"/>
        <v>q</v>
      </c>
      <c r="J9" s="39" t="str">
        <f t="shared" si="49"/>
        <v>q</v>
      </c>
      <c r="K9" s="39" t="str">
        <f t="shared" si="49"/>
        <v>s</v>
      </c>
      <c r="L9" s="39" t="str">
        <f t="shared" si="49"/>
        <v>s</v>
      </c>
      <c r="M9" s="39" t="str">
        <f t="shared" si="49"/>
        <v>d</v>
      </c>
      <c r="N9" s="39" t="str">
        <f t="shared" si="49"/>
        <v>s</v>
      </c>
      <c r="O9" s="39" t="str">
        <f t="shared" si="49"/>
        <v>t</v>
      </c>
      <c r="P9" s="39" t="str">
        <f t="shared" si="49"/>
        <v>q</v>
      </c>
      <c r="Q9" s="39" t="str">
        <f t="shared" si="49"/>
        <v>q</v>
      </c>
      <c r="R9" s="39" t="str">
        <f t="shared" si="49"/>
        <v>s</v>
      </c>
      <c r="S9" s="39" t="str">
        <f t="shared" si="49"/>
        <v>s</v>
      </c>
      <c r="T9" s="39" t="str">
        <f t="shared" si="49"/>
        <v>d</v>
      </c>
      <c r="U9" s="39" t="str">
        <f t="shared" si="49"/>
        <v>s</v>
      </c>
      <c r="V9" s="39" t="str">
        <f t="shared" si="49"/>
        <v>t</v>
      </c>
      <c r="W9" s="39" t="str">
        <f t="shared" si="49"/>
        <v>q</v>
      </c>
      <c r="X9" s="39" t="str">
        <f t="shared" si="49"/>
        <v>q</v>
      </c>
      <c r="Y9" s="39" t="str">
        <f t="shared" si="49"/>
        <v>s</v>
      </c>
      <c r="Z9" s="39" t="str">
        <f t="shared" si="49"/>
        <v>s</v>
      </c>
      <c r="AA9" s="39" t="str">
        <f t="shared" si="49"/>
        <v>d</v>
      </c>
      <c r="AB9" s="39" t="str">
        <f t="shared" si="49"/>
        <v>s</v>
      </c>
      <c r="AC9" s="39" t="str">
        <f t="shared" si="49"/>
        <v>t</v>
      </c>
      <c r="AD9" s="39" t="str">
        <f t="shared" si="49"/>
        <v>q</v>
      </c>
      <c r="AE9" s="39" t="str">
        <f t="shared" si="49"/>
        <v>q</v>
      </c>
      <c r="AF9" s="39" t="str">
        <f t="shared" si="49"/>
        <v>s</v>
      </c>
      <c r="AG9" s="39" t="str">
        <f t="shared" si="49"/>
        <v>s</v>
      </c>
      <c r="AH9" s="39" t="str">
        <f t="shared" si="49"/>
        <v>d</v>
      </c>
      <c r="AI9" s="39" t="str">
        <f t="shared" si="49"/>
        <v>s</v>
      </c>
      <c r="AJ9" s="39" t="str">
        <f t="shared" si="49"/>
        <v>t</v>
      </c>
      <c r="AK9" s="39" t="str">
        <f t="shared" si="49"/>
        <v>q</v>
      </c>
      <c r="AL9" s="39" t="str">
        <f t="shared" si="49"/>
        <v>q</v>
      </c>
      <c r="AM9" s="39" t="str">
        <f t="shared" si="49"/>
        <v>s</v>
      </c>
      <c r="AN9" s="39" t="str">
        <f t="shared" si="49"/>
        <v>s</v>
      </c>
      <c r="AO9" s="39" t="str">
        <f t="shared" si="49"/>
        <v>d</v>
      </c>
      <c r="AP9" s="39" t="str">
        <f t="shared" si="49"/>
        <v>s</v>
      </c>
      <c r="AQ9" s="39" t="str">
        <f t="shared" si="49"/>
        <v>t</v>
      </c>
      <c r="AR9" s="39" t="str">
        <f t="shared" si="49"/>
        <v>q</v>
      </c>
      <c r="AS9" s="39" t="str">
        <f t="shared" si="49"/>
        <v>q</v>
      </c>
      <c r="AT9" s="39" t="str">
        <f t="shared" si="49"/>
        <v>s</v>
      </c>
      <c r="AU9" s="39" t="str">
        <f t="shared" si="49"/>
        <v>s</v>
      </c>
      <c r="AV9" s="39" t="str">
        <f t="shared" si="49"/>
        <v>d</v>
      </c>
      <c r="AW9" s="39" t="str">
        <f t="shared" si="49"/>
        <v>s</v>
      </c>
      <c r="AX9" s="39" t="str">
        <f t="shared" si="49"/>
        <v>t</v>
      </c>
      <c r="AY9" s="39" t="str">
        <f t="shared" si="49"/>
        <v>q</v>
      </c>
      <c r="AZ9" s="39" t="str">
        <f t="shared" si="49"/>
        <v>q</v>
      </c>
      <c r="BA9" s="39" t="str">
        <f t="shared" si="49"/>
        <v>s</v>
      </c>
      <c r="BB9" s="39" t="str">
        <f t="shared" si="49"/>
        <v>s</v>
      </c>
      <c r="BC9" s="39" t="str">
        <f t="shared" si="49"/>
        <v>d</v>
      </c>
      <c r="BD9" s="39" t="str">
        <f t="shared" si="49"/>
        <v>s</v>
      </c>
      <c r="BE9" s="39" t="str">
        <f t="shared" si="49"/>
        <v>t</v>
      </c>
      <c r="BF9" s="39" t="str">
        <f t="shared" si="49"/>
        <v>q</v>
      </c>
      <c r="BG9" s="39" t="str">
        <f t="shared" si="49"/>
        <v>q</v>
      </c>
      <c r="BH9" s="39" t="str">
        <f t="shared" si="49"/>
        <v>s</v>
      </c>
      <c r="BI9" s="39" t="str">
        <f t="shared" si="49"/>
        <v>s</v>
      </c>
      <c r="BJ9" s="39" t="str">
        <f t="shared" si="49"/>
        <v>d</v>
      </c>
      <c r="BK9" s="39" t="str">
        <f t="shared" si="49"/>
        <v>s</v>
      </c>
      <c r="BL9" s="39" t="str">
        <f t="shared" ref="BL9:BY9" si="50">LEFT(TEXT(BL7,"ddd"),1)</f>
        <v>t</v>
      </c>
      <c r="BM9" s="39" t="str">
        <f t="shared" si="50"/>
        <v>q</v>
      </c>
      <c r="BN9" s="39" t="str">
        <f t="shared" si="50"/>
        <v>q</v>
      </c>
      <c r="BO9" s="39" t="str">
        <f t="shared" si="50"/>
        <v>s</v>
      </c>
      <c r="BP9" s="39" t="str">
        <f t="shared" si="50"/>
        <v>s</v>
      </c>
      <c r="BQ9" s="39" t="str">
        <f t="shared" si="50"/>
        <v>d</v>
      </c>
      <c r="BR9" s="39" t="str">
        <f t="shared" si="50"/>
        <v>s</v>
      </c>
      <c r="BS9" s="39" t="str">
        <f t="shared" si="50"/>
        <v>t</v>
      </c>
      <c r="BT9" s="39" t="str">
        <f t="shared" si="50"/>
        <v>q</v>
      </c>
      <c r="BU9" s="39" t="str">
        <f t="shared" si="50"/>
        <v>q</v>
      </c>
      <c r="BV9" s="39" t="str">
        <f t="shared" si="50"/>
        <v>s</v>
      </c>
      <c r="BW9" s="39" t="str">
        <f t="shared" si="50"/>
        <v>s</v>
      </c>
      <c r="BX9" s="39" t="str">
        <f t="shared" si="50"/>
        <v>d</v>
      </c>
      <c r="BY9" s="39" t="str">
        <f t="shared" si="50"/>
        <v>s</v>
      </c>
      <c r="BZ9" s="39" t="str">
        <f t="shared" ref="BZ9:CB9" si="51">LEFT(TEXT(BZ7,"ddd"),1)</f>
        <v>t</v>
      </c>
      <c r="CA9" s="39" t="str">
        <f t="shared" si="51"/>
        <v>q</v>
      </c>
      <c r="CB9" s="39" t="str">
        <f t="shared" si="51"/>
        <v>q</v>
      </c>
      <c r="CC9" s="39" t="str">
        <f t="shared" ref="CC9:CS9" si="52">LEFT(TEXT(CC7,"ddd"),1)</f>
        <v>s</v>
      </c>
      <c r="CD9" s="39" t="str">
        <f t="shared" si="52"/>
        <v>s</v>
      </c>
      <c r="CE9" s="39" t="str">
        <f t="shared" si="52"/>
        <v>d</v>
      </c>
      <c r="CF9" s="39" t="str">
        <f t="shared" si="52"/>
        <v>s</v>
      </c>
      <c r="CG9" s="39" t="str">
        <f t="shared" si="52"/>
        <v>t</v>
      </c>
      <c r="CH9" s="39" t="str">
        <f t="shared" si="52"/>
        <v>q</v>
      </c>
      <c r="CI9" s="39" t="str">
        <f t="shared" si="52"/>
        <v>q</v>
      </c>
      <c r="CJ9" s="39" t="str">
        <f t="shared" si="52"/>
        <v>s</v>
      </c>
      <c r="CK9" s="39" t="str">
        <f t="shared" si="52"/>
        <v>s</v>
      </c>
      <c r="CL9" s="39" t="str">
        <f t="shared" si="52"/>
        <v>d</v>
      </c>
      <c r="CM9" s="39" t="str">
        <f t="shared" si="52"/>
        <v>s</v>
      </c>
      <c r="CN9" s="39" t="str">
        <f t="shared" si="52"/>
        <v>t</v>
      </c>
      <c r="CO9" s="39" t="str">
        <f t="shared" si="52"/>
        <v>q</v>
      </c>
      <c r="CP9" s="39" t="str">
        <f t="shared" si="52"/>
        <v>q</v>
      </c>
      <c r="CQ9" s="39" t="str">
        <f t="shared" si="52"/>
        <v>s</v>
      </c>
      <c r="CR9" s="39" t="str">
        <f t="shared" si="52"/>
        <v>s</v>
      </c>
      <c r="CS9" s="39" t="str">
        <f t="shared" si="52"/>
        <v>d</v>
      </c>
      <c r="CT9" s="39" t="str">
        <f t="shared" ref="CT9:DE9" si="53">LEFT(TEXT(CT7,"ddd"),1)</f>
        <v>s</v>
      </c>
      <c r="CU9" s="39" t="str">
        <f t="shared" si="53"/>
        <v>t</v>
      </c>
      <c r="CV9" s="39" t="str">
        <f t="shared" si="53"/>
        <v>q</v>
      </c>
      <c r="CW9" s="39" t="str">
        <f t="shared" si="53"/>
        <v>q</v>
      </c>
      <c r="CX9" s="39" t="str">
        <f t="shared" si="53"/>
        <v>s</v>
      </c>
      <c r="CY9" s="39" t="str">
        <f t="shared" si="53"/>
        <v>s</v>
      </c>
      <c r="CZ9" s="39" t="str">
        <f t="shared" si="53"/>
        <v>d</v>
      </c>
      <c r="DA9" s="39" t="str">
        <f t="shared" si="53"/>
        <v>s</v>
      </c>
      <c r="DB9" s="39" t="str">
        <f t="shared" si="53"/>
        <v>t</v>
      </c>
      <c r="DC9" s="39" t="str">
        <f t="shared" si="53"/>
        <v>q</v>
      </c>
      <c r="DD9" s="39" t="str">
        <f t="shared" si="53"/>
        <v>q</v>
      </c>
      <c r="DE9" s="39" t="str">
        <f t="shared" si="53"/>
        <v>s</v>
      </c>
      <c r="DF9" s="39" t="str">
        <f t="shared" ref="DF9" si="54">LEFT(TEXT(DF7,"ddd"),1)</f>
        <v>s</v>
      </c>
    </row>
    <row r="10" spans="1:110" ht="14.5" hidden="1" customHeight="1" x14ac:dyDescent="0.35">
      <c r="B10" s="10"/>
      <c r="C10" s="7"/>
      <c r="D10" s="8"/>
      <c r="E10" s="8">
        <f>Milestones4352[[#This Row],[Ínicio]]+Milestones4352[[#This Row],[Nº Dias]]-1</f>
        <v>-1</v>
      </c>
      <c r="F10" s="9"/>
      <c r="H10" s="12"/>
      <c r="I10" s="12"/>
      <c r="J10" s="12"/>
      <c r="K10" s="12"/>
      <c r="L10" s="12"/>
      <c r="M10" s="12"/>
      <c r="N10" s="12"/>
      <c r="O10" s="12"/>
      <c r="P10" s="12"/>
      <c r="Q10" s="12"/>
      <c r="R10" s="12"/>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O10" s="12"/>
      <c r="BP10" s="12"/>
      <c r="BQ10" s="12"/>
      <c r="BR10" s="12"/>
      <c r="BS10" s="12"/>
      <c r="BT10" s="12"/>
      <c r="BU10" s="12"/>
      <c r="BV10" s="12"/>
      <c r="BW10" s="12"/>
      <c r="BX10" s="12"/>
      <c r="BY10" s="12"/>
      <c r="BZ10" s="12"/>
      <c r="CA10" s="12"/>
      <c r="CB10" s="12"/>
      <c r="CC10" s="12"/>
      <c r="CD10" s="12"/>
      <c r="CE10" s="12"/>
      <c r="CF10" s="12"/>
      <c r="CG10" s="12"/>
      <c r="CH10" s="12"/>
      <c r="CI10" s="12"/>
      <c r="CJ10" s="12"/>
      <c r="CK10" s="12"/>
      <c r="CL10" s="12"/>
      <c r="CM10" s="12"/>
      <c r="CN10" s="12"/>
      <c r="CO10" s="12"/>
      <c r="CP10" s="12"/>
      <c r="CQ10" s="12"/>
      <c r="CR10" s="12"/>
      <c r="CS10" s="12"/>
      <c r="CT10" s="12"/>
      <c r="CU10" s="12"/>
      <c r="CV10" s="12"/>
      <c r="CW10" s="12"/>
      <c r="CX10" s="12"/>
      <c r="CY10" s="12"/>
      <c r="CZ10" s="12"/>
      <c r="DA10" s="12"/>
      <c r="DB10" s="12"/>
      <c r="DC10" s="12"/>
      <c r="DD10" s="12"/>
      <c r="DE10" s="12"/>
      <c r="DF10" s="12"/>
    </row>
    <row r="11" spans="1:110" s="1" customFormat="1" ht="40.15" customHeight="1" x14ac:dyDescent="0.35">
      <c r="A11" s="5"/>
      <c r="B11" s="42" t="s">
        <v>8</v>
      </c>
      <c r="C11" s="13" t="s">
        <v>1</v>
      </c>
      <c r="D11" s="14">
        <v>45979</v>
      </c>
      <c r="E11" s="14">
        <f>Milestones4352[[#This Row],[Ínicio]]+Milestones4352[[#This Row],[Nº Dias]]-1</f>
        <v>45979</v>
      </c>
      <c r="F11" s="15">
        <v>1</v>
      </c>
      <c r="G11" s="13"/>
      <c r="H11" s="11" t="str">
        <f>IF(AND($C11="Goal",H$7&gt;=$D11,H$7&lt;=$D11+$F11-1),2,IF(AND($C11="Milestone",H$7&gt;=$D11,H$7&lt;=$D11+$F11-1),1,""))</f>
        <v/>
      </c>
      <c r="I11" s="11" t="str">
        <f>IF(AND($C11="Goal",I$7&gt;=$D11,I$7&lt;=$D11+$F11-1),2,IF(AND($C11="Milestone",I$7&gt;=$D11,I$7&lt;=$D11+$F11-1),1,""))</f>
        <v/>
      </c>
      <c r="J11" s="11" t="str">
        <f>IF(AND($C11="Goal",J$7&gt;=$D11,J$7&lt;=$D11+$F11-1),2,IF(AND($C11="Milestone",J$7&gt;=$D11,J$7&lt;=$D11+$F11-1),1,""))</f>
        <v/>
      </c>
      <c r="K11" s="11" t="str">
        <f>IF(AND($C11="Goal",K$7&gt;=$D11,K$7&lt;=$D11+$F11-1),2,IF(AND($C11="Milestone",K$7&gt;=$D11,K$7&lt;=$D11+$F11-1),1,""))</f>
        <v/>
      </c>
      <c r="L11" s="11" t="str">
        <f>IF(AND($C11="Goal",L$7&gt;=$D11,L$7&lt;=$D11+$F11-1),2,IF(AND($C11="Milestone",L$7&gt;=$D11,L$7&lt;=$D11+$F11-1),1,""))</f>
        <v/>
      </c>
      <c r="M11" s="11" t="str">
        <f>IF(AND($C11="Goal",M$7&gt;=$D11,M$7&lt;=$D11+$F11-1),2,IF(AND($C11="Milestone",M$7&gt;=$D11,M$7&lt;=$D11+$F11-1),1,""))</f>
        <v/>
      </c>
      <c r="N11" s="11" t="str">
        <f>IF(AND($C11="Goal",N$7&gt;=$D11,N$7&lt;=$D11+$F11-1),2,IF(AND($C11="Milestone",N$7&gt;=$D11,N$7&lt;=$D11+$F11-1),1,""))</f>
        <v/>
      </c>
      <c r="O11" s="11" t="str">
        <f>IF(AND($C11="Goal",O$7&gt;=$D11,O$7&lt;=$D11+$F11-1),2,IF(AND($C11="Milestone",O$7&gt;=$D11,O$7&lt;=$D11+$F11-1),1,""))</f>
        <v/>
      </c>
      <c r="P11" s="11" t="str">
        <f>IF(AND($C11="Goal",P$7&gt;=$D11,P$7&lt;=$D11+$F11-1),2,IF(AND($C11="Milestone",P$7&gt;=$D11,P$7&lt;=$D11+$F11-1),1,""))</f>
        <v/>
      </c>
      <c r="Q11" s="11" t="str">
        <f>IF(AND($C11="Goal",Q$7&gt;=$D11,Q$7&lt;=$D11+$F11-1),2,IF(AND($C11="Milestone",Q$7&gt;=$D11,Q$7&lt;=$D11+$F11-1),1,""))</f>
        <v/>
      </c>
      <c r="R11" s="11" t="str">
        <f>IF(AND($C11="Goal",R$7&gt;=$D11,R$7&lt;=$D11+$F11-1),2,IF(AND($C11="Milestone",R$7&gt;=$D11,R$7&lt;=$D11+$F11-1),1,""))</f>
        <v/>
      </c>
      <c r="S11" s="11" t="str">
        <f>IF(AND($C11="Goal",S$7&gt;=$D11,S$7&lt;=$D11+$F11-1),2,IF(AND($C11="Milestone",S$7&gt;=$D11,S$7&lt;=$D11+$F11-1),1,""))</f>
        <v/>
      </c>
      <c r="T11" s="11" t="str">
        <f>IF(AND($C11="Goal",T$7&gt;=$D11,T$7&lt;=$D11+$F11-1),2,IF(AND($C11="Milestone",T$7&gt;=$D11,T$7&lt;=$D11+$F11-1),1,""))</f>
        <v/>
      </c>
      <c r="U11" s="11" t="str">
        <f>IF(AND($C11="Goal",U$7&gt;=$D11,U$7&lt;=$D11+$F11-1),2,IF(AND($C11="Milestone",U$7&gt;=$D11,U$7&lt;=$D11+$F11-1),1,""))</f>
        <v/>
      </c>
      <c r="V11" s="11" t="str">
        <f>IF(AND($C11="Goal",V$7&gt;=$D11,V$7&lt;=$D11+$F11-1),2,IF(AND($C11="Milestone",V$7&gt;=$D11,V$7&lt;=$D11+$F11-1),1,""))</f>
        <v/>
      </c>
      <c r="W11" s="11" t="str">
        <f>IF(AND($C11="Goal",W$7&gt;=$D11,W$7&lt;=$D11+$F11-1),2,IF(AND($C11="Milestone",W$7&gt;=$D11,W$7&lt;=$D11+$F11-1),1,""))</f>
        <v/>
      </c>
      <c r="X11" s="11" t="str">
        <f>IF(AND($C11="Goal",X$7&gt;=$D11,X$7&lt;=$D11+$F11-1),2,IF(AND($C11="Milestone",X$7&gt;=$D11,X$7&lt;=$D11+$F11-1),1,""))</f>
        <v/>
      </c>
      <c r="Y11" s="11" t="str">
        <f>IF(AND($C11="Goal",Y$7&gt;=$D11,Y$7&lt;=$D11+$F11-1),2,IF(AND($C11="Milestone",Y$7&gt;=$D11,Y$7&lt;=$D11+$F11-1),1,""))</f>
        <v/>
      </c>
      <c r="Z11" s="11" t="str">
        <f>IF(AND($C11="Goal",Z$7&gt;=$D11,Z$7&lt;=$D11+$F11-1),2,IF(AND($C11="Milestone",Z$7&gt;=$D11,Z$7&lt;=$D11+$F11-1),1,""))</f>
        <v/>
      </c>
      <c r="AA11" s="11" t="str">
        <f>IF(AND($C11="Goal",AA$7&gt;=$D11,AA$7&lt;=$D11+$F11-1),2,IF(AND($C11="Milestone",AA$7&gt;=$D11,AA$7&lt;=$D11+$F11-1),1,""))</f>
        <v/>
      </c>
      <c r="AB11" s="11" t="str">
        <f>IF(AND($C11="Goal",AB$7&gt;=$D11,AB$7&lt;=$D11+$F11-1),2,IF(AND($C11="Milestone",AB$7&gt;=$D11,AB$7&lt;=$D11+$F11-1),1,""))</f>
        <v/>
      </c>
      <c r="AC11" s="11">
        <f>IF(AND($C11="Goal",AC$7&gt;=$D11,AC$7&lt;=$D11+$F11-1),2,IF(AND($C11="Milestone",AC$7&gt;=$D11,AC$7&lt;=$D11+$F11-1),1,""))</f>
        <v>1</v>
      </c>
      <c r="AD11" s="11" t="str">
        <f>IF(AND($C11="Goal",AD$7&gt;=$D11,AD$7&lt;=$D11+$F11-1),2,IF(AND($C11="Milestone",AD$7&gt;=$D11,AD$7&lt;=$D11+$F11-1),1,""))</f>
        <v/>
      </c>
      <c r="AE11" s="11" t="str">
        <f>IF(AND($C11="Goal",AE$7&gt;=$D11,AE$7&lt;=$D11+$F11-1),2,IF(AND($C11="Milestone",AE$7&gt;=$D11,AE$7&lt;=$D11+$F11-1),1,""))</f>
        <v/>
      </c>
      <c r="AF11" s="11" t="str">
        <f>IF(AND($C11="Goal",AF$7&gt;=$D11,AF$7&lt;=$D11+$F11-1),2,IF(AND($C11="Milestone",AF$7&gt;=$D11,AF$7&lt;=$D11+$F11-1),1,""))</f>
        <v/>
      </c>
      <c r="AG11" s="11" t="str">
        <f>IF(AND($C11="Goal",AG$7&gt;=$D11,AG$7&lt;=$D11+$F11-1),2,IF(AND($C11="Milestone",AG$7&gt;=$D11,AG$7&lt;=$D11+$F11-1),1,""))</f>
        <v/>
      </c>
      <c r="AH11" s="11" t="str">
        <f>IF(AND($C11="Goal",AH$7&gt;=$D11,AH$7&lt;=$D11+$F11-1),2,IF(AND($C11="Milestone",AH$7&gt;=$D11,AH$7&lt;=$D11+$F11-1),1,""))</f>
        <v/>
      </c>
      <c r="AI11" s="11" t="str">
        <f>IF(AND($C11="Goal",AI$7&gt;=$D11,AI$7&lt;=$D11+$F11-1),2,IF(AND($C11="Milestone",AI$7&gt;=$D11,AI$7&lt;=$D11+$F11-1),1,""))</f>
        <v/>
      </c>
      <c r="AJ11" s="11" t="str">
        <f>IF(AND($C11="Goal",AJ$7&gt;=$D11,AJ$7&lt;=$D11+$F11-1),2,IF(AND($C11="Milestone",AJ$7&gt;=$D11,AJ$7&lt;=$D11+$F11-1),1,""))</f>
        <v/>
      </c>
      <c r="AK11" s="11" t="str">
        <f>IF(AND($C11="Goal",AK$7&gt;=$D11,AK$7&lt;=$D11+$F11-1),2,IF(AND($C11="Milestone",AK$7&gt;=$D11,AK$7&lt;=$D11+$F11-1),1,""))</f>
        <v/>
      </c>
      <c r="AL11" s="11" t="str">
        <f>IF(AND($C11="Goal",AL$7&gt;=$D11,AL$7&lt;=$D11+$F11-1),2,IF(AND($C11="Milestone",AL$7&gt;=$D11,AL$7&lt;=$D11+$F11-1),1,""))</f>
        <v/>
      </c>
      <c r="AM11" s="11" t="str">
        <f>IF(AND($C11="Goal",AM$7&gt;=$D11,AM$7&lt;=$D11+$F11-1),2,IF(AND($C11="Milestone",AM$7&gt;=$D11,AM$7&lt;=$D11+$F11-1),1,""))</f>
        <v/>
      </c>
      <c r="AN11" s="11" t="str">
        <f>IF(AND($C11="Goal",AN$7&gt;=$D11,AN$7&lt;=$D11+$F11-1),2,IF(AND($C11="Milestone",AN$7&gt;=$D11,AN$7&lt;=$D11+$F11-1),1,""))</f>
        <v/>
      </c>
      <c r="AO11" s="11" t="str">
        <f>IF(AND($C11="Goal",AO$7&gt;=$D11,AO$7&lt;=$D11+$F11-1),2,IF(AND($C11="Milestone",AO$7&gt;=$D11,AO$7&lt;=$D11+$F11-1),1,""))</f>
        <v/>
      </c>
      <c r="AP11" s="11" t="str">
        <f>IF(AND($C11="Goal",AP$7&gt;=$D11,AP$7&lt;=$D11+$F11-1),2,IF(AND($C11="Milestone",AP$7&gt;=$D11,AP$7&lt;=$D11+$F11-1),1,""))</f>
        <v/>
      </c>
      <c r="AQ11" s="11" t="str">
        <f>IF(AND($C11="Goal",AQ$7&gt;=$D11,AQ$7&lt;=$D11+$F11-1),2,IF(AND($C11="Milestone",AQ$7&gt;=$D11,AQ$7&lt;=$D11+$F11-1),1,""))</f>
        <v/>
      </c>
      <c r="AR11" s="11" t="str">
        <f>IF(AND($C11="Goal",AR$7&gt;=$D11,AR$7&lt;=$D11+$F11-1),2,IF(AND($C11="Milestone",AR$7&gt;=$D11,AR$7&lt;=$D11+$F11-1),1,""))</f>
        <v/>
      </c>
      <c r="AS11" s="11" t="str">
        <f>IF(AND($C11="Goal",AS$7&gt;=$D11,AS$7&lt;=$D11+$F11-1),2,IF(AND($C11="Milestone",AS$7&gt;=$D11,AS$7&lt;=$D11+$F11-1),1,""))</f>
        <v/>
      </c>
      <c r="AT11" s="11" t="str">
        <f>IF(AND($C11="Goal",AT$7&gt;=$D11,AT$7&lt;=$D11+$F11-1),2,IF(AND($C11="Milestone",AT$7&gt;=$D11,AT$7&lt;=$D11+$F11-1),1,""))</f>
        <v/>
      </c>
      <c r="AU11" s="11" t="str">
        <f>IF(AND($C11="Goal",AU$7&gt;=$D11,AU$7&lt;=$D11+$F11-1),2,IF(AND($C11="Milestone",AU$7&gt;=$D11,AU$7&lt;=$D11+$F11-1),1,""))</f>
        <v/>
      </c>
      <c r="AV11" s="11" t="str">
        <f>IF(AND($C11="Goal",AV$7&gt;=$D11,AV$7&lt;=$D11+$F11-1),2,IF(AND($C11="Milestone",AV$7&gt;=$D11,AV$7&lt;=$D11+$F11-1),1,""))</f>
        <v/>
      </c>
      <c r="AW11" s="11" t="str">
        <f>IF(AND($C11="Goal",AW$7&gt;=$D11,AW$7&lt;=$D11+$F11-1),2,IF(AND($C11="Milestone",AW$7&gt;=$D11,AW$7&lt;=$D11+$F11-1),1,""))</f>
        <v/>
      </c>
      <c r="AX11" s="11" t="str">
        <f>IF(AND($C11="Goal",AX$7&gt;=$D11,AX$7&lt;=$D11+$F11-1),2,IF(AND($C11="Milestone",AX$7&gt;=$D11,AX$7&lt;=$D11+$F11-1),1,""))</f>
        <v/>
      </c>
      <c r="AY11" s="11" t="str">
        <f>IF(AND($C11="Goal",AY$7&gt;=$D11,AY$7&lt;=$D11+$F11-1),2,IF(AND($C11="Milestone",AY$7&gt;=$D11,AY$7&lt;=$D11+$F11-1),1,""))</f>
        <v/>
      </c>
      <c r="AZ11" s="11" t="str">
        <f>IF(AND($C11="Goal",AZ$7&gt;=$D11,AZ$7&lt;=$D11+$F11-1),2,IF(AND($C11="Milestone",AZ$7&gt;=$D11,AZ$7&lt;=$D11+$F11-1),1,""))</f>
        <v/>
      </c>
      <c r="BA11" s="11" t="str">
        <f>IF(AND($C11="Goal",BA$7&gt;=$D11,BA$7&lt;=$D11+$F11-1),2,IF(AND($C11="Milestone",BA$7&gt;=$D11,BA$7&lt;=$D11+$F11-1),1,""))</f>
        <v/>
      </c>
      <c r="BB11" s="11" t="str">
        <f>IF(AND($C11="Goal",BB$7&gt;=$D11,BB$7&lt;=$D11+$F11-1),2,IF(AND($C11="Milestone",BB$7&gt;=$D11,BB$7&lt;=$D11+$F11-1),1,""))</f>
        <v/>
      </c>
      <c r="BC11" s="11" t="str">
        <f>IF(AND($C11="Goal",BC$7&gt;=$D11,BC$7&lt;=$D11+$F11-1),2,IF(AND($C11="Milestone",BC$7&gt;=$D11,BC$7&lt;=$D11+$F11-1),1,""))</f>
        <v/>
      </c>
      <c r="BD11" s="11" t="str">
        <f>IF(AND($C11="Goal",BD$7&gt;=$D11,BD$7&lt;=$D11+$F11-1),2,IF(AND($C11="Milestone",BD$7&gt;=$D11,BD$7&lt;=$D11+$F11-1),1,""))</f>
        <v/>
      </c>
      <c r="BE11" s="11" t="str">
        <f>IF(AND($C11="Goal",BE$7&gt;=$D11,BE$7&lt;=$D11+$F11-1),2,IF(AND($C11="Milestone",BE$7&gt;=$D11,BE$7&lt;=$D11+$F11-1),1,""))</f>
        <v/>
      </c>
      <c r="BF11" s="11" t="str">
        <f>IF(AND($C11="Goal",BF$7&gt;=$D11,BF$7&lt;=$D11+$F11-1),2,IF(AND($C11="Milestone",BF$7&gt;=$D11,BF$7&lt;=$D11+$F11-1),1,""))</f>
        <v/>
      </c>
      <c r="BG11" s="11" t="str">
        <f>IF(AND($C11="Goal",BG$7&gt;=$D11,BG$7&lt;=$D11+$F11-1),2,IF(AND($C11="Milestone",BG$7&gt;=$D11,BG$7&lt;=$D11+$F11-1),1,""))</f>
        <v/>
      </c>
      <c r="BH11" s="11" t="str">
        <f>IF(AND($C11="Goal",BH$7&gt;=$D11,BH$7&lt;=$D11+$F11-1),2,IF(AND($C11="Milestone",BH$7&gt;=$D11,BH$7&lt;=$D11+$F11-1),1,""))</f>
        <v/>
      </c>
      <c r="BI11" s="11" t="str">
        <f>IF(AND($C11="Goal",BI$7&gt;=$D11,BI$7&lt;=$D11+$F11-1),2,IF(AND($C11="Milestone",BI$7&gt;=$D11,BI$7&lt;=$D11+$F11-1),1,""))</f>
        <v/>
      </c>
      <c r="BJ11" s="11" t="str">
        <f>IF(AND($C11="Goal",BJ$7&gt;=$D11,BJ$7&lt;=$D11+$F11-1),2,IF(AND($C11="Milestone",BJ$7&gt;=$D11,BJ$7&lt;=$D11+$F11-1),1,""))</f>
        <v/>
      </c>
      <c r="BK11" s="11" t="str">
        <f>IF(AND($C11="Goal",BK$7&gt;=$D11,BK$7&lt;=$D11+$F11-1),2,IF(AND($C11="Milestone",BK$7&gt;=$D11,BK$7&lt;=$D11+$F11-1),1,""))</f>
        <v/>
      </c>
      <c r="BL11" s="11" t="str">
        <f>IF(AND($C11="Goal",BL$7&gt;=$D11,BL$7&lt;=$D11+$F11-1),2,IF(AND($C11="Milestone",BL$7&gt;=$D11,BL$7&lt;=$D11+$F11-1),1,""))</f>
        <v/>
      </c>
      <c r="BM11" s="11" t="str">
        <f>IF(AND($C11="Goal",BM$7&gt;=$D11,BM$7&lt;=$D11+$F11-1),2,IF(AND($C11="Milestone",BM$7&gt;=$D11,BM$7&lt;=$D11+$F11-1),1,""))</f>
        <v/>
      </c>
      <c r="BN11" s="11" t="str">
        <f>IF(AND($C11="Goal",BN$7&gt;=$D11,BN$7&lt;=$D11+$F11-1),2,IF(AND($C11="Milestone",BN$7&gt;=$D11,BN$7&lt;=$D11+$F11-1),1,""))</f>
        <v/>
      </c>
      <c r="BO11" s="11" t="str">
        <f>IF(AND($C11="Goal",BO$7&gt;=$D11,BO$7&lt;=$D11+$F11-1),2,IF(AND($C11="Milestone",BO$7&gt;=$D11,BO$7&lt;=$D11+$F11-1),1,""))</f>
        <v/>
      </c>
      <c r="BP11" s="11" t="str">
        <f>IF(AND($C11="Goal",BP$7&gt;=$D11,BP$7&lt;=$D11+$F11-1),2,IF(AND($C11="Milestone",BP$7&gt;=$D11,BP$7&lt;=$D11+$F11-1),1,""))</f>
        <v/>
      </c>
      <c r="BQ11" s="11" t="str">
        <f>IF(AND($C11="Goal",BQ$7&gt;=$D11,BQ$7&lt;=$D11+$F11-1),2,IF(AND($C11="Milestone",BQ$7&gt;=$D11,BQ$7&lt;=$D11+$F11-1),1,""))</f>
        <v/>
      </c>
      <c r="BR11" s="11" t="str">
        <f>IF(AND($C11="Goal",BR$7&gt;=$D11,BR$7&lt;=$D11+$F11-1),2,IF(AND($C11="Milestone",BR$7&gt;=$D11,BR$7&lt;=$D11+$F11-1),1,""))</f>
        <v/>
      </c>
      <c r="BS11" s="11" t="str">
        <f>IF(AND($C11="Goal",BS$7&gt;=$D11,BS$7&lt;=$D11+$F11-1),2,IF(AND($C11="Milestone",BS$7&gt;=$D11,BS$7&lt;=$D11+$F11-1),1,""))</f>
        <v/>
      </c>
      <c r="BT11" s="11" t="str">
        <f>IF(AND($C11="Goal",BT$7&gt;=$D11,BT$7&lt;=$D11+$F11-1),2,IF(AND($C11="Milestone",BT$7&gt;=$D11,BT$7&lt;=$D11+$F11-1),1,""))</f>
        <v/>
      </c>
      <c r="BU11" s="11" t="str">
        <f>IF(AND($C11="Goal",BU$7&gt;=$D11,BU$7&lt;=$D11+$F11-1),2,IF(AND($C11="Milestone",BU$7&gt;=$D11,BU$7&lt;=$D11+$F11-1),1,""))</f>
        <v/>
      </c>
      <c r="BV11" s="11" t="str">
        <f>IF(AND($C11="Goal",BV$7&gt;=$D11,BV$7&lt;=$D11+$F11-1),2,IF(AND($C11="Milestone",BV$7&gt;=$D11,BV$7&lt;=$D11+$F11-1),1,""))</f>
        <v/>
      </c>
      <c r="BW11" s="11" t="str">
        <f>IF(AND($C11="Goal",BW$7&gt;=$D11,BW$7&lt;=$D11+$F11-1),2,IF(AND($C11="Milestone",BW$7&gt;=$D11,BW$7&lt;=$D11+$F11-1),1,""))</f>
        <v/>
      </c>
      <c r="BX11" s="11" t="str">
        <f>IF(AND($C11="Goal",BX$7&gt;=$D11,BX$7&lt;=$D11+$F11-1),2,IF(AND($C11="Milestone",BX$7&gt;=$D11,BX$7&lt;=$D11+$F11-1),1,""))</f>
        <v/>
      </c>
      <c r="BY11" s="11" t="str">
        <f>IF(AND($C11="Goal",BY$7&gt;=$D11,BY$7&lt;=$D11+$F11-1),2,IF(AND($C11="Milestone",BY$7&gt;=$D11,BY$7&lt;=$D11+$F11-1),1,""))</f>
        <v/>
      </c>
      <c r="BZ11" s="11" t="str">
        <f>IF(AND($C11="Goal",BZ$7&gt;=$D11,BZ$7&lt;=$D11+$F11-1),2,IF(AND($C11="Milestone",BZ$7&gt;=$D11,BZ$7&lt;=$D11+$F11-1),1,""))</f>
        <v/>
      </c>
      <c r="CA11" s="11" t="str">
        <f>IF(AND($C11="Goal",CA$7&gt;=$D11,CA$7&lt;=$D11+$F11-1),2,IF(AND($C11="Milestone",CA$7&gt;=$D11,CA$7&lt;=$D11+$F11-1),1,""))</f>
        <v/>
      </c>
      <c r="CB11" s="11" t="str">
        <f>IF(AND($C11="Goal",CB$7&gt;=$D11,CB$7&lt;=$D11+$F11-1),2,IF(AND($C11="Milestone",CB$7&gt;=$D11,CB$7&lt;=$D11+$F11-1),1,""))</f>
        <v/>
      </c>
      <c r="CC11" s="11" t="str">
        <f>IF(AND($C11="Goal",CC$7&gt;=$D11,CC$7&lt;=$D11+$F11-1),2,IF(AND($C11="Milestone",CC$7&gt;=$D11,CC$7&lt;=$D11+$F11-1),1,""))</f>
        <v/>
      </c>
      <c r="CD11" s="11" t="str">
        <f>IF(AND($C11="Goal",CD$7&gt;=$D11,CD$7&lt;=$D11+$F11-1),2,IF(AND($C11="Milestone",CD$7&gt;=$D11,CD$7&lt;=$D11+$F11-1),1,""))</f>
        <v/>
      </c>
      <c r="CE11" s="11" t="str">
        <f>IF(AND($C11="Goal",CE$7&gt;=$D11,CE$7&lt;=$D11+$F11-1),2,IF(AND($C11="Milestone",CE$7&gt;=$D11,CE$7&lt;=$D11+$F11-1),1,""))</f>
        <v/>
      </c>
      <c r="CF11" s="11" t="str">
        <f>IF(AND($C11="Goal",CF$7&gt;=$D11,CF$7&lt;=$D11+$F11-1),2,IF(AND($C11="Milestone",CF$7&gt;=$D11,CF$7&lt;=$D11+$F11-1),1,""))</f>
        <v/>
      </c>
      <c r="CG11" s="11" t="str">
        <f>IF(AND($C11="Goal",CG$7&gt;=$D11,CG$7&lt;=$D11+$F11-1),2,IF(AND($C11="Milestone",CG$7&gt;=$D11,CG$7&lt;=$D11+$F11-1),1,""))</f>
        <v/>
      </c>
      <c r="CH11" s="11" t="str">
        <f>IF(AND($C11="Goal",CH$7&gt;=$D11,CH$7&lt;=$D11+$F11-1),2,IF(AND($C11="Milestone",CH$7&gt;=$D11,CH$7&lt;=$D11+$F11-1),1,""))</f>
        <v/>
      </c>
      <c r="CI11" s="11" t="str">
        <f>IF(AND($C11="Goal",CI$7&gt;=$D11,CI$7&lt;=$D11+$F11-1),2,IF(AND($C11="Milestone",CI$7&gt;=$D11,CI$7&lt;=$D11+$F11-1),1,""))</f>
        <v/>
      </c>
      <c r="CJ11" s="11" t="str">
        <f>IF(AND($C11="Goal",CJ$7&gt;=$D11,CJ$7&lt;=$D11+$F11-1),2,IF(AND($C11="Milestone",CJ$7&gt;=$D11,CJ$7&lt;=$D11+$F11-1),1,""))</f>
        <v/>
      </c>
      <c r="CK11" s="11" t="str">
        <f>IF(AND($C11="Goal",CK$7&gt;=$D11,CK$7&lt;=$D11+$F11-1),2,IF(AND($C11="Milestone",CK$7&gt;=$D11,CK$7&lt;=$D11+$F11-1),1,""))</f>
        <v/>
      </c>
      <c r="CL11" s="11" t="str">
        <f>IF(AND($C11="Goal",CL$7&gt;=$D11,CL$7&lt;=$D11+$F11-1),2,IF(AND($C11="Milestone",CL$7&gt;=$D11,CL$7&lt;=$D11+$F11-1),1,""))</f>
        <v/>
      </c>
      <c r="CM11" s="11" t="str">
        <f>IF(AND($C11="Goal",CM$7&gt;=$D11,CM$7&lt;=$D11+$F11-1),2,IF(AND($C11="Milestone",CM$7&gt;=$D11,CM$7&lt;=$D11+$F11-1),1,""))</f>
        <v/>
      </c>
      <c r="CN11" s="11" t="str">
        <f>IF(AND($C11="Goal",CN$7&gt;=$D11,CN$7&lt;=$D11+$F11-1),2,IF(AND($C11="Milestone",CN$7&gt;=$D11,CN$7&lt;=$D11+$F11-1),1,""))</f>
        <v/>
      </c>
      <c r="CO11" s="11" t="str">
        <f>IF(AND($C11="Goal",CO$7&gt;=$D11,CO$7&lt;=$D11+$F11-1),2,IF(AND($C11="Milestone",CO$7&gt;=$D11,CO$7&lt;=$D11+$F11-1),1,""))</f>
        <v/>
      </c>
      <c r="CP11" s="11" t="str">
        <f>IF(AND($C11="Goal",CP$7&gt;=$D11,CP$7&lt;=$D11+$F11-1),2,IF(AND($C11="Milestone",CP$7&gt;=$D11,CP$7&lt;=$D11+$F11-1),1,""))</f>
        <v/>
      </c>
      <c r="CQ11" s="11" t="str">
        <f>IF(AND($C11="Goal",CQ$7&gt;=$D11,CQ$7&lt;=$D11+$F11-1),2,IF(AND($C11="Milestone",CQ$7&gt;=$D11,CQ$7&lt;=$D11+$F11-1),1,""))</f>
        <v/>
      </c>
      <c r="CR11" s="11" t="str">
        <f>IF(AND($C11="Goal",CR$7&gt;=$D11,CR$7&lt;=$D11+$F11-1),2,IF(AND($C11="Milestone",CR$7&gt;=$D11,CR$7&lt;=$D11+$F11-1),1,""))</f>
        <v/>
      </c>
      <c r="CS11" s="11" t="str">
        <f>IF(AND($C11="Goal",CS$7&gt;=$D11,CS$7&lt;=$D11+$F11-1),2,IF(AND($C11="Milestone",CS$7&gt;=$D11,CS$7&lt;=$D11+$F11-1),1,""))</f>
        <v/>
      </c>
      <c r="CT11" s="11" t="str">
        <f>IF(AND($C11="Goal",CT$7&gt;=$D11,CT$7&lt;=$D11+$F11-1),2,IF(AND($C11="Milestone",CT$7&gt;=$D11,CT$7&lt;=$D11+$F11-1),1,""))</f>
        <v/>
      </c>
      <c r="CU11" s="11" t="str">
        <f>IF(AND($C11="Goal",CU$7&gt;=$D11,CU$7&lt;=$D11+$F11-1),2,IF(AND($C11="Milestone",CU$7&gt;=$D11,CU$7&lt;=$D11+$F11-1),1,""))</f>
        <v/>
      </c>
      <c r="CV11" s="11" t="str">
        <f>IF(AND($C11="Goal",CV$7&gt;=$D11,CV$7&lt;=$D11+$F11-1),2,IF(AND($C11="Milestone",CV$7&gt;=$D11,CV$7&lt;=$D11+$F11-1),1,""))</f>
        <v/>
      </c>
      <c r="CW11" s="11" t="str">
        <f>IF(AND($C11="Goal",CW$7&gt;=$D11,CW$7&lt;=$D11+$F11-1),2,IF(AND($C11="Milestone",CW$7&gt;=$D11,CW$7&lt;=$D11+$F11-1),1,""))</f>
        <v/>
      </c>
      <c r="CX11" s="11" t="str">
        <f>IF(AND($C11="Goal",CX$7&gt;=$D11,CX$7&lt;=$D11+$F11-1),2,IF(AND($C11="Milestone",CX$7&gt;=$D11,CX$7&lt;=$D11+$F11-1),1,""))</f>
        <v/>
      </c>
      <c r="CY11" s="11" t="str">
        <f>IF(AND($C11="Goal",CY$7&gt;=$D11,CY$7&lt;=$D11+$F11-1),2,IF(AND($C11="Milestone",CY$7&gt;=$D11,CY$7&lt;=$D11+$F11-1),1,""))</f>
        <v/>
      </c>
      <c r="CZ11" s="11" t="str">
        <f>IF(AND($C11="Goal",CZ$7&gt;=$D11,CZ$7&lt;=$D11+$F11-1),2,IF(AND($C11="Milestone",CZ$7&gt;=$D11,CZ$7&lt;=$D11+$F11-1),1,""))</f>
        <v/>
      </c>
      <c r="DA11" s="11" t="str">
        <f>IF(AND($C11="Goal",DA$7&gt;=$D11,DA$7&lt;=$D11+$F11-1),2,IF(AND($C11="Milestone",DA$7&gt;=$D11,DA$7&lt;=$D11+$F11-1),1,""))</f>
        <v/>
      </c>
      <c r="DB11" s="11" t="str">
        <f>IF(AND($C11="Goal",DB$7&gt;=$D11,DB$7&lt;=$D11+$F11-1),2,IF(AND($C11="Milestone",DB$7&gt;=$D11,DB$7&lt;=$D11+$F11-1),1,""))</f>
        <v/>
      </c>
      <c r="DC11" s="11" t="str">
        <f>IF(AND($C11="Goal",DC$7&gt;=$D11,DC$7&lt;=$D11+$F11-1),2,IF(AND($C11="Milestone",DC$7&gt;=$D11,DC$7&lt;=$D11+$F11-1),1,""))</f>
        <v/>
      </c>
      <c r="DD11" s="11" t="str">
        <f>IF(AND($C11="Goal",DD$7&gt;=$D11,DD$7&lt;=$D11+$F11-1),2,IF(AND($C11="Milestone",DD$7&gt;=$D11,DD$7&lt;=$D11+$F11-1),1,""))</f>
        <v/>
      </c>
      <c r="DE11" s="11" t="str">
        <f>IF(AND($C11="Goal",DE$7&gt;=$D11,DE$7&lt;=$D11+$F11-1),2,IF(AND($C11="Milestone",DE$7&gt;=$D11,DE$7&lt;=$D11+$F11-1),1,""))</f>
        <v/>
      </c>
      <c r="DF11" s="11" t="str">
        <f>IF(AND($C11="Goal",DF$7&gt;=$D11,DF$7&lt;=$D11+$F11-1),2,IF(AND($C11="Milestone",DF$7&gt;=$D11,DF$7&lt;=$D11+$F11-1),1,""))</f>
        <v/>
      </c>
    </row>
    <row r="12" spans="1:110" s="1" customFormat="1" ht="40.15" customHeight="1" x14ac:dyDescent="0.35">
      <c r="A12" s="5"/>
      <c r="B12" s="43" t="s">
        <v>5</v>
      </c>
      <c r="C12" s="13" t="s">
        <v>4</v>
      </c>
      <c r="D12" s="14">
        <v>45965</v>
      </c>
      <c r="E12" s="14">
        <f>Milestones4352[[#This Row],[Ínicio]]+Milestones4352[[#This Row],[Nº Dias]]-1</f>
        <v>45969</v>
      </c>
      <c r="F12" s="15">
        <v>5</v>
      </c>
      <c r="G12" s="13"/>
      <c r="H12" s="11" t="str">
        <f>IF(AND($C12="Goal",H$7&gt;=$D12,H$7&lt;=$D12+$F12-1),2,IF(AND($C12="Milestone",H$7&gt;=$D12,H$7&lt;=$D12+$F12-1),1,""))</f>
        <v/>
      </c>
      <c r="I12" s="11" t="str">
        <f>IF(AND($C12="Goal",I$7&gt;=$D12,I$7&lt;=$D12+$F12-1),2,IF(AND($C12="Milestone",I$7&gt;=$D12,I$7&lt;=$D12+$F12-1),1,""))</f>
        <v/>
      </c>
      <c r="J12" s="11" t="str">
        <f>IF(AND($C12="Goal",J$7&gt;=$D12,J$7&lt;=$D12+$F12-1),2,IF(AND($C12="Milestone",J$7&gt;=$D12,J$7&lt;=$D12+$F12-1),1,""))</f>
        <v/>
      </c>
      <c r="K12" s="11" t="str">
        <f>IF(AND($C12="Goal",K$7&gt;=$D12,K$7&lt;=$D12+$F12-1),2,IF(AND($C12="Milestone",K$7&gt;=$D12,K$7&lt;=$D12+$F12-1),1,""))</f>
        <v/>
      </c>
      <c r="L12" s="11" t="str">
        <f>IF(AND($C12="Goal",L$7&gt;=$D12,L$7&lt;=$D12+$F12-1),2,IF(AND($C12="Milestone",L$7&gt;=$D12,L$7&lt;=$D12+$F12-1),1,""))</f>
        <v/>
      </c>
      <c r="M12" s="11" t="str">
        <f>IF(AND($C12="Goal",M$7&gt;=$D12,M$7&lt;=$D12+$F12-1),2,IF(AND($C12="Milestone",M$7&gt;=$D12,M$7&lt;=$D12+$F12-1),1,""))</f>
        <v/>
      </c>
      <c r="N12" s="11" t="str">
        <f>IF(AND($C12="Goal",N$7&gt;=$D12,N$7&lt;=$D12+$F12-1),2,IF(AND($C12="Milestone",N$7&gt;=$D12,N$7&lt;=$D12+$F12-1),1,""))</f>
        <v/>
      </c>
      <c r="O12" s="11" t="str">
        <f>IF(AND($C12="Goal",O$7&gt;=$D12,O$7&lt;=$D12+$F12-1),2,IF(AND($C12="Milestone",O$7&gt;=$D12,O$7&lt;=$D12+$F12-1),1,""))</f>
        <v/>
      </c>
      <c r="P12" s="11" t="str">
        <f>IF(AND($C12="Goal",P$7&gt;=$D12,P$7&lt;=$D12+$F12-1),2,IF(AND($C12="Milestone",P$7&gt;=$D12,P$7&lt;=$D12+$F12-1),1,""))</f>
        <v/>
      </c>
      <c r="Q12" s="11" t="str">
        <f>IF(AND($C12="Goal",Q$7&gt;=$D12,Q$7&lt;=$D12+$F12-1),2,IF(AND($C12="Milestone",Q$7&gt;=$D12,Q$7&lt;=$D12+$F12-1),1,""))</f>
        <v/>
      </c>
      <c r="R12" s="11" t="str">
        <f>IF(AND($C12="Goal",R$7&gt;=$D12,R$7&lt;=$D12+$F12-1),2,IF(AND($C12="Milestone",R$7&gt;=$D12,R$7&lt;=$D12+$F12-1),1,""))</f>
        <v/>
      </c>
      <c r="S12" s="11" t="str">
        <f>IF(AND($C12="Goal",S$7&gt;=$D12,S$7&lt;=$D12+$F12-1),2,IF(AND($C12="Milestone",S$7&gt;=$D12,S$7&lt;=$D12+$F12-1),1,""))</f>
        <v/>
      </c>
      <c r="T12" s="11" t="str">
        <f>IF(AND($C12="Goal",T$7&gt;=$D12,T$7&lt;=$D12+$F12-1),2,IF(AND($C12="Milestone",T$7&gt;=$D12,T$7&lt;=$D12+$F12-1),1,""))</f>
        <v/>
      </c>
      <c r="U12" s="11" t="str">
        <f>IF(AND($C12="Goal",U$7&gt;=$D12,U$7&lt;=$D12+$F12-1),2,IF(AND($C12="Milestone",U$7&gt;=$D12,U$7&lt;=$D12+$F12-1),1,""))</f>
        <v/>
      </c>
      <c r="V12" s="11" t="str">
        <f>IF(AND($C12="Goal",V$7&gt;=$D12,V$7&lt;=$D12+$F12-1),2,IF(AND($C12="Milestone",V$7&gt;=$D12,V$7&lt;=$D12+$F12-1),1,""))</f>
        <v/>
      </c>
      <c r="W12" s="11" t="str">
        <f>IF(AND($C12="Goal",W$7&gt;=$D12,W$7&lt;=$D12+$F12-1),2,IF(AND($C12="Milestone",W$7&gt;=$D12,W$7&lt;=$D12+$F12-1),1,""))</f>
        <v/>
      </c>
      <c r="X12" s="11" t="str">
        <f>IF(AND($C12="Goal",X$7&gt;=$D12,X$7&lt;=$D12+$F12-1),2,IF(AND($C12="Milestone",X$7&gt;=$D12,X$7&lt;=$D12+$F12-1),1,""))</f>
        <v/>
      </c>
      <c r="Y12" s="11" t="str">
        <f>IF(AND($C12="Goal",Y$7&gt;=$D12,Y$7&lt;=$D12+$F12-1),2,IF(AND($C12="Milestone",Y$7&gt;=$D12,Y$7&lt;=$D12+$F12-1),1,""))</f>
        <v/>
      </c>
      <c r="Z12" s="11" t="str">
        <f>IF(AND($C12="Goal",Z$7&gt;=$D12,Z$7&lt;=$D12+$F12-1),2,IF(AND($C12="Milestone",Z$7&gt;=$D12,Z$7&lt;=$D12+$F12-1),1,""))</f>
        <v/>
      </c>
      <c r="AA12" s="11" t="str">
        <f>IF(AND($C12="Goal",AA$7&gt;=$D12,AA$7&lt;=$D12+$F12-1),2,IF(AND($C12="Milestone",AA$7&gt;=$D12,AA$7&lt;=$D12+$F12-1),1,""))</f>
        <v/>
      </c>
      <c r="AB12" s="11" t="str">
        <f>IF(AND($C12="Goal",AB$7&gt;=$D12,AB$7&lt;=$D12+$F12-1),2,IF(AND($C12="Milestone",AB$7&gt;=$D12,AB$7&lt;=$D12+$F12-1),1,""))</f>
        <v/>
      </c>
      <c r="AC12" s="11" t="str">
        <f>IF(AND($C12="Goal",AC$7&gt;=$D12,AC$7&lt;=$D12+$F12-1),2,IF(AND($C12="Milestone",AC$7&gt;=$D12,AC$7&lt;=$D12+$F12-1),1,""))</f>
        <v/>
      </c>
      <c r="AD12" s="11" t="str">
        <f>IF(AND($C12="Goal",AD$7&gt;=$D12,AD$7&lt;=$D12+$F12-1),2,IF(AND($C12="Milestone",AD$7&gt;=$D12,AD$7&lt;=$D12+$F12-1),1,""))</f>
        <v/>
      </c>
      <c r="AE12" s="11" t="str">
        <f>IF(AND($C12="Goal",AE$7&gt;=$D12,AE$7&lt;=$D12+$F12-1),2,IF(AND($C12="Milestone",AE$7&gt;=$D12,AE$7&lt;=$D12+$F12-1),1,""))</f>
        <v/>
      </c>
      <c r="AF12" s="11" t="str">
        <f>IF(AND($C12="Goal",AF$7&gt;=$D12,AF$7&lt;=$D12+$F12-1),2,IF(AND($C12="Milestone",AF$7&gt;=$D12,AF$7&lt;=$D12+$F12-1),1,""))</f>
        <v/>
      </c>
      <c r="AG12" s="11" t="str">
        <f>IF(AND($C12="Goal",AG$7&gt;=$D12,AG$7&lt;=$D12+$F12-1),2,IF(AND($C12="Milestone",AG$7&gt;=$D12,AG$7&lt;=$D12+$F12-1),1,""))</f>
        <v/>
      </c>
      <c r="AH12" s="11" t="str">
        <f>IF(AND($C12="Goal",AH$7&gt;=$D12,AH$7&lt;=$D12+$F12-1),2,IF(AND($C12="Milestone",AH$7&gt;=$D12,AH$7&lt;=$D12+$F12-1),1,""))</f>
        <v/>
      </c>
      <c r="AI12" s="11" t="str">
        <f>IF(AND($C12="Goal",AI$7&gt;=$D12,AI$7&lt;=$D12+$F12-1),2,IF(AND($C12="Milestone",AI$7&gt;=$D12,AI$7&lt;=$D12+$F12-1),1,""))</f>
        <v/>
      </c>
      <c r="AJ12" s="11" t="str">
        <f>IF(AND($C12="Goal",AJ$7&gt;=$D12,AJ$7&lt;=$D12+$F12-1),2,IF(AND($C12="Milestone",AJ$7&gt;=$D12,AJ$7&lt;=$D12+$F12-1),1,""))</f>
        <v/>
      </c>
      <c r="AK12" s="11" t="str">
        <f>IF(AND($C12="Goal",AK$7&gt;=$D12,AK$7&lt;=$D12+$F12-1),2,IF(AND($C12="Milestone",AK$7&gt;=$D12,AK$7&lt;=$D12+$F12-1),1,""))</f>
        <v/>
      </c>
      <c r="AL12" s="11" t="str">
        <f>IF(AND($C12="Goal",AL$7&gt;=$D12,AL$7&lt;=$D12+$F12-1),2,IF(AND($C12="Milestone",AL$7&gt;=$D12,AL$7&lt;=$D12+$F12-1),1,""))</f>
        <v/>
      </c>
      <c r="AM12" s="11" t="str">
        <f>IF(AND($C12="Goal",AM$7&gt;=$D12,AM$7&lt;=$D12+$F12-1),2,IF(AND($C12="Milestone",AM$7&gt;=$D12,AM$7&lt;=$D12+$F12-1),1,""))</f>
        <v/>
      </c>
      <c r="AN12" s="11" t="str">
        <f>IF(AND($C12="Goal",AN$7&gt;=$D12,AN$7&lt;=$D12+$F12-1),2,IF(AND($C12="Milestone",AN$7&gt;=$D12,AN$7&lt;=$D12+$F12-1),1,""))</f>
        <v/>
      </c>
      <c r="AO12" s="11" t="str">
        <f>IF(AND($C12="Goal",AO$7&gt;=$D12,AO$7&lt;=$D12+$F12-1),2,IF(AND($C12="Milestone",AO$7&gt;=$D12,AO$7&lt;=$D12+$F12-1),1,""))</f>
        <v/>
      </c>
      <c r="AP12" s="11" t="str">
        <f>IF(AND($C12="Goal",AP$7&gt;=$D12,AP$7&lt;=$D12+$F12-1),2,IF(AND($C12="Milestone",AP$7&gt;=$D12,AP$7&lt;=$D12+$F12-1),1,""))</f>
        <v/>
      </c>
      <c r="AQ12" s="11" t="str">
        <f>IF(AND($C12="Goal",AQ$7&gt;=$D12,AQ$7&lt;=$D12+$F12-1),2,IF(AND($C12="Milestone",AQ$7&gt;=$D12,AQ$7&lt;=$D12+$F12-1),1,""))</f>
        <v/>
      </c>
      <c r="AR12" s="11" t="str">
        <f>IF(AND($C12="Goal",AR$7&gt;=$D12,AR$7&lt;=$D12+$F12-1),2,IF(AND($C12="Milestone",AR$7&gt;=$D12,AR$7&lt;=$D12+$F12-1),1,""))</f>
        <v/>
      </c>
      <c r="AS12" s="11" t="str">
        <f>IF(AND($C12="Goal",AS$7&gt;=$D12,AS$7&lt;=$D12+$F12-1),2,IF(AND($C12="Milestone",AS$7&gt;=$D12,AS$7&lt;=$D12+$F12-1),1,""))</f>
        <v/>
      </c>
      <c r="AT12" s="11" t="str">
        <f>IF(AND($C12="Goal",AT$7&gt;=$D12,AT$7&lt;=$D12+$F12-1),2,IF(AND($C12="Milestone",AT$7&gt;=$D12,AT$7&lt;=$D12+$F12-1),1,""))</f>
        <v/>
      </c>
      <c r="AU12" s="11" t="str">
        <f>IF(AND($C12="Goal",AU$7&gt;=$D12,AU$7&lt;=$D12+$F12-1),2,IF(AND($C12="Milestone",AU$7&gt;=$D12,AU$7&lt;=$D12+$F12-1),1,""))</f>
        <v/>
      </c>
      <c r="AV12" s="11" t="str">
        <f>IF(AND($C12="Goal",AV$7&gt;=$D12,AV$7&lt;=$D12+$F12-1),2,IF(AND($C12="Milestone",AV$7&gt;=$D12,AV$7&lt;=$D12+$F12-1),1,""))</f>
        <v/>
      </c>
      <c r="AW12" s="11" t="str">
        <f>IF(AND($C12="Goal",AW$7&gt;=$D12,AW$7&lt;=$D12+$F12-1),2,IF(AND($C12="Milestone",AW$7&gt;=$D12,AW$7&lt;=$D12+$F12-1),1,""))</f>
        <v/>
      </c>
      <c r="AX12" s="11" t="str">
        <f>IF(AND($C12="Goal",AX$7&gt;=$D12,AX$7&lt;=$D12+$F12-1),2,IF(AND($C12="Milestone",AX$7&gt;=$D12,AX$7&lt;=$D12+$F12-1),1,""))</f>
        <v/>
      </c>
      <c r="AY12" s="11" t="str">
        <f>IF(AND($C12="Goal",AY$7&gt;=$D12,AY$7&lt;=$D12+$F12-1),2,IF(AND($C12="Milestone",AY$7&gt;=$D12,AY$7&lt;=$D12+$F12-1),1,""))</f>
        <v/>
      </c>
      <c r="AZ12" s="11" t="str">
        <f>IF(AND($C12="Goal",AZ$7&gt;=$D12,AZ$7&lt;=$D12+$F12-1),2,IF(AND($C12="Milestone",AZ$7&gt;=$D12,AZ$7&lt;=$D12+$F12-1),1,""))</f>
        <v/>
      </c>
      <c r="BA12" s="11" t="str">
        <f>IF(AND($C12="Goal",BA$7&gt;=$D12,BA$7&lt;=$D12+$F12-1),2,IF(AND($C12="Milestone",BA$7&gt;=$D12,BA$7&lt;=$D12+$F12-1),1,""))</f>
        <v/>
      </c>
      <c r="BB12" s="11" t="str">
        <f>IF(AND($C12="Goal",BB$7&gt;=$D12,BB$7&lt;=$D12+$F12-1),2,IF(AND($C12="Milestone",BB$7&gt;=$D12,BB$7&lt;=$D12+$F12-1),1,""))</f>
        <v/>
      </c>
      <c r="BC12" s="11" t="str">
        <f>IF(AND($C12="Goal",BC$7&gt;=$D12,BC$7&lt;=$D12+$F12-1),2,IF(AND($C12="Milestone",BC$7&gt;=$D12,BC$7&lt;=$D12+$F12-1),1,""))</f>
        <v/>
      </c>
      <c r="BD12" s="11" t="str">
        <f>IF(AND($C12="Goal",BD$7&gt;=$D12,BD$7&lt;=$D12+$F12-1),2,IF(AND($C12="Milestone",BD$7&gt;=$D12,BD$7&lt;=$D12+$F12-1),1,""))</f>
        <v/>
      </c>
      <c r="BE12" s="11" t="str">
        <f>IF(AND($C12="Goal",BE$7&gt;=$D12,BE$7&lt;=$D12+$F12-1),2,IF(AND($C12="Milestone",BE$7&gt;=$D12,BE$7&lt;=$D12+$F12-1),1,""))</f>
        <v/>
      </c>
      <c r="BF12" s="11" t="str">
        <f>IF(AND($C12="Goal",BF$7&gt;=$D12,BF$7&lt;=$D12+$F12-1),2,IF(AND($C12="Milestone",BF$7&gt;=$D12,BF$7&lt;=$D12+$F12-1),1,""))</f>
        <v/>
      </c>
      <c r="BG12" s="11" t="str">
        <f>IF(AND($C12="Goal",BG$7&gt;=$D12,BG$7&lt;=$D12+$F12-1),2,IF(AND($C12="Milestone",BG$7&gt;=$D12,BG$7&lt;=$D12+$F12-1),1,""))</f>
        <v/>
      </c>
      <c r="BH12" s="11" t="str">
        <f>IF(AND($C12="Goal",BH$7&gt;=$D12,BH$7&lt;=$D12+$F12-1),2,IF(AND($C12="Milestone",BH$7&gt;=$D12,BH$7&lt;=$D12+$F12-1),1,""))</f>
        <v/>
      </c>
      <c r="BI12" s="11" t="str">
        <f>IF(AND($C12="Goal",BI$7&gt;=$D12,BI$7&lt;=$D12+$F12-1),2,IF(AND($C12="Milestone",BI$7&gt;=$D12,BI$7&lt;=$D12+$F12-1),1,""))</f>
        <v/>
      </c>
      <c r="BJ12" s="11" t="str">
        <f>IF(AND($C12="Goal",BJ$7&gt;=$D12,BJ$7&lt;=$D12+$F12-1),2,IF(AND($C12="Milestone",BJ$7&gt;=$D12,BJ$7&lt;=$D12+$F12-1),1,""))</f>
        <v/>
      </c>
      <c r="BK12" s="11" t="str">
        <f>IF(AND($C12="Goal",BK$7&gt;=$D12,BK$7&lt;=$D12+$F12-1),2,IF(AND($C12="Milestone",BK$7&gt;=$D12,BK$7&lt;=$D12+$F12-1),1,""))</f>
        <v/>
      </c>
      <c r="BL12" s="11" t="str">
        <f>IF(AND($C12="Goal",BL$7&gt;=$D12,BL$7&lt;=$D12+$F12-1),2,IF(AND($C12="Milestone",BL$7&gt;=$D12,BL$7&lt;=$D12+$F12-1),1,""))</f>
        <v/>
      </c>
      <c r="BM12" s="11" t="str">
        <f>IF(AND($C12="Goal",BM$7&gt;=$D12,BM$7&lt;=$D12+$F12-1),2,IF(AND($C12="Milestone",BM$7&gt;=$D12,BM$7&lt;=$D12+$F12-1),1,""))</f>
        <v/>
      </c>
      <c r="BN12" s="11" t="str">
        <f>IF(AND($C12="Goal",BN$7&gt;=$D12,BN$7&lt;=$D12+$F12-1),2,IF(AND($C12="Milestone",BN$7&gt;=$D12,BN$7&lt;=$D12+$F12-1),1,""))</f>
        <v/>
      </c>
      <c r="BO12" s="11" t="str">
        <f>IF(AND($C12="Goal",BO$7&gt;=$D12,BO$7&lt;=$D12+$F12-1),2,IF(AND($C12="Milestone",BO$7&gt;=$D12,BO$7&lt;=$D12+$F12-1),1,""))</f>
        <v/>
      </c>
      <c r="BP12" s="11" t="str">
        <f>IF(AND($C12="Goal",BP$7&gt;=$D12,BP$7&lt;=$D12+$F12-1),2,IF(AND($C12="Milestone",BP$7&gt;=$D12,BP$7&lt;=$D12+$F12-1),1,""))</f>
        <v/>
      </c>
      <c r="BQ12" s="11" t="str">
        <f>IF(AND($C12="Goal",BQ$7&gt;=$D12,BQ$7&lt;=$D12+$F12-1),2,IF(AND($C12="Milestone",BQ$7&gt;=$D12,BQ$7&lt;=$D12+$F12-1),1,""))</f>
        <v/>
      </c>
      <c r="BR12" s="11" t="str">
        <f>IF(AND($C12="Goal",BR$7&gt;=$D12,BR$7&lt;=$D12+$F12-1),2,IF(AND($C12="Milestone",BR$7&gt;=$D12,BR$7&lt;=$D12+$F12-1),1,""))</f>
        <v/>
      </c>
      <c r="BS12" s="11" t="str">
        <f>IF(AND($C12="Goal",BS$7&gt;=$D12,BS$7&lt;=$D12+$F12-1),2,IF(AND($C12="Milestone",BS$7&gt;=$D12,BS$7&lt;=$D12+$F12-1),1,""))</f>
        <v/>
      </c>
      <c r="BT12" s="11" t="str">
        <f>IF(AND($C12="Goal",BT$7&gt;=$D12,BT$7&lt;=$D12+$F12-1),2,IF(AND($C12="Milestone",BT$7&gt;=$D12,BT$7&lt;=$D12+$F12-1),1,""))</f>
        <v/>
      </c>
      <c r="BU12" s="11" t="str">
        <f>IF(AND($C12="Goal",BU$7&gt;=$D12,BU$7&lt;=$D12+$F12-1),2,IF(AND($C12="Milestone",BU$7&gt;=$D12,BU$7&lt;=$D12+$F12-1),1,""))</f>
        <v/>
      </c>
      <c r="BV12" s="11" t="str">
        <f>IF(AND($C12="Goal",BV$7&gt;=$D12,BV$7&lt;=$D12+$F12-1),2,IF(AND($C12="Milestone",BV$7&gt;=$D12,BV$7&lt;=$D12+$F12-1),1,""))</f>
        <v/>
      </c>
      <c r="BW12" s="11" t="str">
        <f>IF(AND($C12="Goal",BW$7&gt;=$D12,BW$7&lt;=$D12+$F12-1),2,IF(AND($C12="Milestone",BW$7&gt;=$D12,BW$7&lt;=$D12+$F12-1),1,""))</f>
        <v/>
      </c>
      <c r="BX12" s="11" t="str">
        <f>IF(AND($C12="Goal",BX$7&gt;=$D12,BX$7&lt;=$D12+$F12-1),2,IF(AND($C12="Milestone",BX$7&gt;=$D12,BX$7&lt;=$D12+$F12-1),1,""))</f>
        <v/>
      </c>
      <c r="BY12" s="11" t="str">
        <f>IF(AND($C12="Goal",BY$7&gt;=$D12,BY$7&lt;=$D12+$F12-1),2,IF(AND($C12="Milestone",BY$7&gt;=$D12,BY$7&lt;=$D12+$F12-1),1,""))</f>
        <v/>
      </c>
      <c r="BZ12" s="11" t="str">
        <f>IF(AND($C12="Goal",BZ$7&gt;=$D12,BZ$7&lt;=$D12+$F12-1),2,IF(AND($C12="Milestone",BZ$7&gt;=$D12,BZ$7&lt;=$D12+$F12-1),1,""))</f>
        <v/>
      </c>
      <c r="CA12" s="11" t="str">
        <f>IF(AND($C12="Goal",CA$7&gt;=$D12,CA$7&lt;=$D12+$F12-1),2,IF(AND($C12="Milestone",CA$7&gt;=$D12,CA$7&lt;=$D12+$F12-1),1,""))</f>
        <v/>
      </c>
      <c r="CB12" s="11" t="str">
        <f>IF(AND($C12="Goal",CB$7&gt;=$D12,CB$7&lt;=$D12+$F12-1),2,IF(AND($C12="Milestone",CB$7&gt;=$D12,CB$7&lt;=$D12+$F12-1),1,""))</f>
        <v/>
      </c>
      <c r="CC12" s="11" t="str">
        <f>IF(AND($C12="Goal",CC$7&gt;=$D12,CC$7&lt;=$D12+$F12-1),2,IF(AND($C12="Milestone",CC$7&gt;=$D12,CC$7&lt;=$D12+$F12-1),1,""))</f>
        <v/>
      </c>
      <c r="CD12" s="11" t="str">
        <f>IF(AND($C12="Goal",CD$7&gt;=$D12,CD$7&lt;=$D12+$F12-1),2,IF(AND($C12="Milestone",CD$7&gt;=$D12,CD$7&lt;=$D12+$F12-1),1,""))</f>
        <v/>
      </c>
      <c r="CE12" s="11" t="str">
        <f>IF(AND($C12="Goal",CE$7&gt;=$D12,CE$7&lt;=$D12+$F12-1),2,IF(AND($C12="Milestone",CE$7&gt;=$D12,CE$7&lt;=$D12+$F12-1),1,""))</f>
        <v/>
      </c>
      <c r="CF12" s="11" t="str">
        <f>IF(AND($C12="Goal",CF$7&gt;=$D12,CF$7&lt;=$D12+$F12-1),2,IF(AND($C12="Milestone",CF$7&gt;=$D12,CF$7&lt;=$D12+$F12-1),1,""))</f>
        <v/>
      </c>
      <c r="CG12" s="11" t="str">
        <f>IF(AND($C12="Goal",CG$7&gt;=$D12,CG$7&lt;=$D12+$F12-1),2,IF(AND($C12="Milestone",CG$7&gt;=$D12,CG$7&lt;=$D12+$F12-1),1,""))</f>
        <v/>
      </c>
      <c r="CH12" s="11" t="str">
        <f>IF(AND($C12="Goal",CH$7&gt;=$D12,CH$7&lt;=$D12+$F12-1),2,IF(AND($C12="Milestone",CH$7&gt;=$D12,CH$7&lt;=$D12+$F12-1),1,""))</f>
        <v/>
      </c>
      <c r="CI12" s="11" t="str">
        <f>IF(AND($C12="Goal",CI$7&gt;=$D12,CI$7&lt;=$D12+$F12-1),2,IF(AND($C12="Milestone",CI$7&gt;=$D12,CI$7&lt;=$D12+$F12-1),1,""))</f>
        <v/>
      </c>
      <c r="CJ12" s="11" t="str">
        <f>IF(AND($C12="Goal",CJ$7&gt;=$D12,CJ$7&lt;=$D12+$F12-1),2,IF(AND($C12="Milestone",CJ$7&gt;=$D12,CJ$7&lt;=$D12+$F12-1),1,""))</f>
        <v/>
      </c>
      <c r="CK12" s="11" t="str">
        <f>IF(AND($C12="Goal",CK$7&gt;=$D12,CK$7&lt;=$D12+$F12-1),2,IF(AND($C12="Milestone",CK$7&gt;=$D12,CK$7&lt;=$D12+$F12-1),1,""))</f>
        <v/>
      </c>
      <c r="CL12" s="11" t="str">
        <f>IF(AND($C12="Goal",CL$7&gt;=$D12,CL$7&lt;=$D12+$F12-1),2,IF(AND($C12="Milestone",CL$7&gt;=$D12,CL$7&lt;=$D12+$F12-1),1,""))</f>
        <v/>
      </c>
      <c r="CM12" s="11" t="str">
        <f>IF(AND($C12="Goal",CM$7&gt;=$D12,CM$7&lt;=$D12+$F12-1),2,IF(AND($C12="Milestone",CM$7&gt;=$D12,CM$7&lt;=$D12+$F12-1),1,""))</f>
        <v/>
      </c>
      <c r="CN12" s="11" t="str">
        <f>IF(AND($C12="Goal",CN$7&gt;=$D12,CN$7&lt;=$D12+$F12-1),2,IF(AND($C12="Milestone",CN$7&gt;=$D12,CN$7&lt;=$D12+$F12-1),1,""))</f>
        <v/>
      </c>
      <c r="CO12" s="11" t="str">
        <f>IF(AND($C12="Goal",CO$7&gt;=$D12,CO$7&lt;=$D12+$F12-1),2,IF(AND($C12="Milestone",CO$7&gt;=$D12,CO$7&lt;=$D12+$F12-1),1,""))</f>
        <v/>
      </c>
      <c r="CP12" s="11" t="str">
        <f>IF(AND($C12="Goal",CP$7&gt;=$D12,CP$7&lt;=$D12+$F12-1),2,IF(AND($C12="Milestone",CP$7&gt;=$D12,CP$7&lt;=$D12+$F12-1),1,""))</f>
        <v/>
      </c>
      <c r="CQ12" s="11" t="str">
        <f>IF(AND($C12="Goal",CQ$7&gt;=$D12,CQ$7&lt;=$D12+$F12-1),2,IF(AND($C12="Milestone",CQ$7&gt;=$D12,CQ$7&lt;=$D12+$F12-1),1,""))</f>
        <v/>
      </c>
      <c r="CR12" s="11" t="str">
        <f>IF(AND($C12="Goal",CR$7&gt;=$D12,CR$7&lt;=$D12+$F12-1),2,IF(AND($C12="Milestone",CR$7&gt;=$D12,CR$7&lt;=$D12+$F12-1),1,""))</f>
        <v/>
      </c>
      <c r="CS12" s="11" t="str">
        <f>IF(AND($C12="Goal",CS$7&gt;=$D12,CS$7&lt;=$D12+$F12-1),2,IF(AND($C12="Milestone",CS$7&gt;=$D12,CS$7&lt;=$D12+$F12-1),1,""))</f>
        <v/>
      </c>
      <c r="CT12" s="11" t="str">
        <f>IF(AND($C12="Goal",CT$7&gt;=$D12,CT$7&lt;=$D12+$F12-1),2,IF(AND($C12="Milestone",CT$7&gt;=$D12,CT$7&lt;=$D12+$F12-1),1,""))</f>
        <v/>
      </c>
      <c r="CU12" s="11" t="str">
        <f>IF(AND($C12="Goal",CU$7&gt;=$D12,CU$7&lt;=$D12+$F12-1),2,IF(AND($C12="Milestone",CU$7&gt;=$D12,CU$7&lt;=$D12+$F12-1),1,""))</f>
        <v/>
      </c>
      <c r="CV12" s="11" t="str">
        <f>IF(AND($C12="Goal",CV$7&gt;=$D12,CV$7&lt;=$D12+$F12-1),2,IF(AND($C12="Milestone",CV$7&gt;=$D12,CV$7&lt;=$D12+$F12-1),1,""))</f>
        <v/>
      </c>
      <c r="CW12" s="11" t="str">
        <f>IF(AND($C12="Goal",CW$7&gt;=$D12,CW$7&lt;=$D12+$F12-1),2,IF(AND($C12="Milestone",CW$7&gt;=$D12,CW$7&lt;=$D12+$F12-1),1,""))</f>
        <v/>
      </c>
      <c r="CX12" s="11" t="str">
        <f>IF(AND($C12="Goal",CX$7&gt;=$D12,CX$7&lt;=$D12+$F12-1),2,IF(AND($C12="Milestone",CX$7&gt;=$D12,CX$7&lt;=$D12+$F12-1),1,""))</f>
        <v/>
      </c>
      <c r="CY12" s="11" t="str">
        <f>IF(AND($C12="Goal",CY$7&gt;=$D12,CY$7&lt;=$D12+$F12-1),2,IF(AND($C12="Milestone",CY$7&gt;=$D12,CY$7&lt;=$D12+$F12-1),1,""))</f>
        <v/>
      </c>
      <c r="CZ12" s="11" t="str">
        <f>IF(AND($C12="Goal",CZ$7&gt;=$D12,CZ$7&lt;=$D12+$F12-1),2,IF(AND($C12="Milestone",CZ$7&gt;=$D12,CZ$7&lt;=$D12+$F12-1),1,""))</f>
        <v/>
      </c>
      <c r="DA12" s="11" t="str">
        <f>IF(AND($C12="Goal",DA$7&gt;=$D12,DA$7&lt;=$D12+$F12-1),2,IF(AND($C12="Milestone",DA$7&gt;=$D12,DA$7&lt;=$D12+$F12-1),1,""))</f>
        <v/>
      </c>
      <c r="DB12" s="11" t="str">
        <f>IF(AND($C12="Goal",DB$7&gt;=$D12,DB$7&lt;=$D12+$F12-1),2,IF(AND($C12="Milestone",DB$7&gt;=$D12,DB$7&lt;=$D12+$F12-1),1,""))</f>
        <v/>
      </c>
      <c r="DC12" s="11" t="str">
        <f>IF(AND($C12="Goal",DC$7&gt;=$D12,DC$7&lt;=$D12+$F12-1),2,IF(AND($C12="Milestone",DC$7&gt;=$D12,DC$7&lt;=$D12+$F12-1),1,""))</f>
        <v/>
      </c>
      <c r="DD12" s="11" t="str">
        <f>IF(AND($C12="Goal",DD$7&gt;=$D12,DD$7&lt;=$D12+$F12-1),2,IF(AND($C12="Milestone",DD$7&gt;=$D12,DD$7&lt;=$D12+$F12-1),1,""))</f>
        <v/>
      </c>
      <c r="DE12" s="11" t="str">
        <f>IF(AND($C12="Goal",DE$7&gt;=$D12,DE$7&lt;=$D12+$F12-1),2,IF(AND($C12="Milestone",DE$7&gt;=$D12,DE$7&lt;=$D12+$F12-1),1,""))</f>
        <v/>
      </c>
      <c r="DF12" s="11" t="str">
        <f>IF(AND($C12="Goal",DF$7&gt;=$D12,DF$7&lt;=$D12+$F12-1),2,IF(AND($C12="Milestone",DF$7&gt;=$D12,DF$7&lt;=$D12+$F12-1),1,""))</f>
        <v/>
      </c>
    </row>
    <row r="13" spans="1:110" s="1" customFormat="1" ht="40.15" customHeight="1" x14ac:dyDescent="0.35">
      <c r="A13" s="5"/>
      <c r="B13" s="43" t="s">
        <v>6</v>
      </c>
      <c r="C13" s="13" t="s">
        <v>4</v>
      </c>
      <c r="D13" s="14">
        <f>D12+4</f>
        <v>45969</v>
      </c>
      <c r="E13" s="14">
        <f>Milestones4352[[#This Row],[Ínicio]]+Milestones4352[[#This Row],[Nº Dias]]-1</f>
        <v>45975</v>
      </c>
      <c r="F13" s="15">
        <v>7</v>
      </c>
      <c r="G13" s="13"/>
      <c r="H13" s="11" t="str">
        <f>IF(AND($C13="Goal",H$7&gt;=$D13,H$7&lt;=$D13+$F13-1),2,IF(AND($C13="Milestone",H$7&gt;=$D13,H$7&lt;=$D13+$F13-1),1,""))</f>
        <v/>
      </c>
      <c r="I13" s="11" t="str">
        <f>IF(AND($C13="Goal",I$7&gt;=$D13,I$7&lt;=$D13+$F13-1),2,IF(AND($C13="Milestone",I$7&gt;=$D13,I$7&lt;=$D13+$F13-1),1,""))</f>
        <v/>
      </c>
      <c r="J13" s="11" t="str">
        <f>IF(AND($C13="Goal",J$7&gt;=$D13,J$7&lt;=$D13+$F13-1),2,IF(AND($C13="Milestone",J$7&gt;=$D13,J$7&lt;=$D13+$F13-1),1,""))</f>
        <v/>
      </c>
      <c r="K13" s="11" t="str">
        <f>IF(AND($C13="Goal",K$7&gt;=$D13,K$7&lt;=$D13+$F13-1),2,IF(AND($C13="Milestone",K$7&gt;=$D13,K$7&lt;=$D13+$F13-1),1,""))</f>
        <v/>
      </c>
      <c r="L13" s="11" t="str">
        <f>IF(AND($C13="Goal",L$7&gt;=$D13,L$7&lt;=$D13+$F13-1),2,IF(AND($C13="Milestone",L$7&gt;=$D13,L$7&lt;=$D13+$F13-1),1,""))</f>
        <v/>
      </c>
      <c r="M13" s="11" t="str">
        <f>IF(AND($C13="Goal",M$7&gt;=$D13,M$7&lt;=$D13+$F13-1),2,IF(AND($C13="Milestone",M$7&gt;=$D13,M$7&lt;=$D13+$F13-1),1,""))</f>
        <v/>
      </c>
      <c r="N13" s="11" t="str">
        <f>IF(AND($C13="Goal",N$7&gt;=$D13,N$7&lt;=$D13+$F13-1),2,IF(AND($C13="Milestone",N$7&gt;=$D13,N$7&lt;=$D13+$F13-1),1,""))</f>
        <v/>
      </c>
      <c r="O13" s="11" t="str">
        <f>IF(AND($C13="Goal",O$7&gt;=$D13,O$7&lt;=$D13+$F13-1),2,IF(AND($C13="Milestone",O$7&gt;=$D13,O$7&lt;=$D13+$F13-1),1,""))</f>
        <v/>
      </c>
      <c r="P13" s="11" t="str">
        <f>IF(AND($C13="Goal",P$7&gt;=$D13,P$7&lt;=$D13+$F13-1),2,IF(AND($C13="Milestone",P$7&gt;=$D13,P$7&lt;=$D13+$F13-1),1,""))</f>
        <v/>
      </c>
      <c r="Q13" s="11" t="str">
        <f>IF(AND($C13="Goal",Q$7&gt;=$D13,Q$7&lt;=$D13+$F13-1),2,IF(AND($C13="Milestone",Q$7&gt;=$D13,Q$7&lt;=$D13+$F13-1),1,""))</f>
        <v/>
      </c>
      <c r="R13" s="11" t="str">
        <f>IF(AND($C13="Goal",R$7&gt;=$D13,R$7&lt;=$D13+$F13-1),2,IF(AND($C13="Milestone",R$7&gt;=$D13,R$7&lt;=$D13+$F13-1),1,""))</f>
        <v/>
      </c>
      <c r="S13" s="11" t="str">
        <f>IF(AND($C13="Goal",S$7&gt;=$D13,S$7&lt;=$D13+$F13-1),2,IF(AND($C13="Milestone",S$7&gt;=$D13,S$7&lt;=$D13+$F13-1),1,""))</f>
        <v/>
      </c>
      <c r="T13" s="11" t="str">
        <f>IF(AND($C13="Goal",T$7&gt;=$D13,T$7&lt;=$D13+$F13-1),2,IF(AND($C13="Milestone",T$7&gt;=$D13,T$7&lt;=$D13+$F13-1),1,""))</f>
        <v/>
      </c>
      <c r="U13" s="11" t="str">
        <f>IF(AND($C13="Goal",U$7&gt;=$D13,U$7&lt;=$D13+$F13-1),2,IF(AND($C13="Milestone",U$7&gt;=$D13,U$7&lt;=$D13+$F13-1),1,""))</f>
        <v/>
      </c>
      <c r="V13" s="11" t="str">
        <f>IF(AND($C13="Goal",V$7&gt;=$D13,V$7&lt;=$D13+$F13-1),2,IF(AND($C13="Milestone",V$7&gt;=$D13,V$7&lt;=$D13+$F13-1),1,""))</f>
        <v/>
      </c>
      <c r="W13" s="11" t="str">
        <f>IF(AND($C13="Goal",W$7&gt;=$D13,W$7&lt;=$D13+$F13-1),2,IF(AND($C13="Milestone",W$7&gt;=$D13,W$7&lt;=$D13+$F13-1),1,""))</f>
        <v/>
      </c>
      <c r="X13" s="11" t="str">
        <f>IF(AND($C13="Goal",X$7&gt;=$D13,X$7&lt;=$D13+$F13-1),2,IF(AND($C13="Milestone",X$7&gt;=$D13,X$7&lt;=$D13+$F13-1),1,""))</f>
        <v/>
      </c>
      <c r="Y13" s="11" t="str">
        <f>IF(AND($C13="Goal",Y$7&gt;=$D13,Y$7&lt;=$D13+$F13-1),2,IF(AND($C13="Milestone",Y$7&gt;=$D13,Y$7&lt;=$D13+$F13-1),1,""))</f>
        <v/>
      </c>
      <c r="Z13" s="11" t="str">
        <f>IF(AND($C13="Goal",Z$7&gt;=$D13,Z$7&lt;=$D13+$F13-1),2,IF(AND($C13="Milestone",Z$7&gt;=$D13,Z$7&lt;=$D13+$F13-1),1,""))</f>
        <v/>
      </c>
      <c r="AA13" s="11" t="str">
        <f>IF(AND($C13="Goal",AA$7&gt;=$D13,AA$7&lt;=$D13+$F13-1),2,IF(AND($C13="Milestone",AA$7&gt;=$D13,AA$7&lt;=$D13+$F13-1),1,""))</f>
        <v/>
      </c>
      <c r="AB13" s="11" t="str">
        <f>IF(AND($C13="Goal",AB$7&gt;=$D13,AB$7&lt;=$D13+$F13-1),2,IF(AND($C13="Milestone",AB$7&gt;=$D13,AB$7&lt;=$D13+$F13-1),1,""))</f>
        <v/>
      </c>
      <c r="AC13" s="11" t="str">
        <f>IF(AND($C13="Goal",AC$7&gt;=$D13,AC$7&lt;=$D13+$F13-1),2,IF(AND($C13="Milestone",AC$7&gt;=$D13,AC$7&lt;=$D13+$F13-1),1,""))</f>
        <v/>
      </c>
      <c r="AD13" s="11" t="str">
        <f>IF(AND($C13="Goal",AD$7&gt;=$D13,AD$7&lt;=$D13+$F13-1),2,IF(AND($C13="Milestone",AD$7&gt;=$D13,AD$7&lt;=$D13+$F13-1),1,""))</f>
        <v/>
      </c>
      <c r="AE13" s="11" t="str">
        <f>IF(AND($C13="Goal",AE$7&gt;=$D13,AE$7&lt;=$D13+$F13-1),2,IF(AND($C13="Milestone",AE$7&gt;=$D13,AE$7&lt;=$D13+$F13-1),1,""))</f>
        <v/>
      </c>
      <c r="AF13" s="11" t="str">
        <f>IF(AND($C13="Goal",AF$7&gt;=$D13,AF$7&lt;=$D13+$F13-1),2,IF(AND($C13="Milestone",AF$7&gt;=$D13,AF$7&lt;=$D13+$F13-1),1,""))</f>
        <v/>
      </c>
      <c r="AG13" s="11" t="str">
        <f>IF(AND($C13="Goal",AG$7&gt;=$D13,AG$7&lt;=$D13+$F13-1),2,IF(AND($C13="Milestone",AG$7&gt;=$D13,AG$7&lt;=$D13+$F13-1),1,""))</f>
        <v/>
      </c>
      <c r="AH13" s="11" t="str">
        <f>IF(AND($C13="Goal",AH$7&gt;=$D13,AH$7&lt;=$D13+$F13-1),2,IF(AND($C13="Milestone",AH$7&gt;=$D13,AH$7&lt;=$D13+$F13-1),1,""))</f>
        <v/>
      </c>
      <c r="AI13" s="11" t="str">
        <f>IF(AND($C13="Goal",AI$7&gt;=$D13,AI$7&lt;=$D13+$F13-1),2,IF(AND($C13="Milestone",AI$7&gt;=$D13,AI$7&lt;=$D13+$F13-1),1,""))</f>
        <v/>
      </c>
      <c r="AJ13" s="11" t="str">
        <f>IF(AND($C13="Goal",AJ$7&gt;=$D13,AJ$7&lt;=$D13+$F13-1),2,IF(AND($C13="Milestone",AJ$7&gt;=$D13,AJ$7&lt;=$D13+$F13-1),1,""))</f>
        <v/>
      </c>
      <c r="AK13" s="11" t="str">
        <f>IF(AND($C13="Goal",AK$7&gt;=$D13,AK$7&lt;=$D13+$F13-1),2,IF(AND($C13="Milestone",AK$7&gt;=$D13,AK$7&lt;=$D13+$F13-1),1,""))</f>
        <v/>
      </c>
      <c r="AL13" s="11" t="str">
        <f>IF(AND($C13="Goal",AL$7&gt;=$D13,AL$7&lt;=$D13+$F13-1),2,IF(AND($C13="Milestone",AL$7&gt;=$D13,AL$7&lt;=$D13+$F13-1),1,""))</f>
        <v/>
      </c>
      <c r="AM13" s="11" t="str">
        <f>IF(AND($C13="Goal",AM$7&gt;=$D13,AM$7&lt;=$D13+$F13-1),2,IF(AND($C13="Milestone",AM$7&gt;=$D13,AM$7&lt;=$D13+$F13-1),1,""))</f>
        <v/>
      </c>
      <c r="AN13" s="11" t="str">
        <f>IF(AND($C13="Goal",AN$7&gt;=$D13,AN$7&lt;=$D13+$F13-1),2,IF(AND($C13="Milestone",AN$7&gt;=$D13,AN$7&lt;=$D13+$F13-1),1,""))</f>
        <v/>
      </c>
      <c r="AO13" s="11" t="str">
        <f>IF(AND($C13="Goal",AO$7&gt;=$D13,AO$7&lt;=$D13+$F13-1),2,IF(AND($C13="Milestone",AO$7&gt;=$D13,AO$7&lt;=$D13+$F13-1),1,""))</f>
        <v/>
      </c>
      <c r="AP13" s="11" t="str">
        <f>IF(AND($C13="Goal",AP$7&gt;=$D13,AP$7&lt;=$D13+$F13-1),2,IF(AND($C13="Milestone",AP$7&gt;=$D13,AP$7&lt;=$D13+$F13-1),1,""))</f>
        <v/>
      </c>
      <c r="AQ13" s="11" t="str">
        <f>IF(AND($C13="Goal",AQ$7&gt;=$D13,AQ$7&lt;=$D13+$F13-1),2,IF(AND($C13="Milestone",AQ$7&gt;=$D13,AQ$7&lt;=$D13+$F13-1),1,""))</f>
        <v/>
      </c>
      <c r="AR13" s="11" t="str">
        <f>IF(AND($C13="Goal",AR$7&gt;=$D13,AR$7&lt;=$D13+$F13-1),2,IF(AND($C13="Milestone",AR$7&gt;=$D13,AR$7&lt;=$D13+$F13-1),1,""))</f>
        <v/>
      </c>
      <c r="AS13" s="11" t="str">
        <f>IF(AND($C13="Goal",AS$7&gt;=$D13,AS$7&lt;=$D13+$F13-1),2,IF(AND($C13="Milestone",AS$7&gt;=$D13,AS$7&lt;=$D13+$F13-1),1,""))</f>
        <v/>
      </c>
      <c r="AT13" s="11" t="str">
        <f>IF(AND($C13="Goal",AT$7&gt;=$D13,AT$7&lt;=$D13+$F13-1),2,IF(AND($C13="Milestone",AT$7&gt;=$D13,AT$7&lt;=$D13+$F13-1),1,""))</f>
        <v/>
      </c>
      <c r="AU13" s="11" t="str">
        <f>IF(AND($C13="Goal",AU$7&gt;=$D13,AU$7&lt;=$D13+$F13-1),2,IF(AND($C13="Milestone",AU$7&gt;=$D13,AU$7&lt;=$D13+$F13-1),1,""))</f>
        <v/>
      </c>
      <c r="AV13" s="11" t="str">
        <f>IF(AND($C13="Goal",AV$7&gt;=$D13,AV$7&lt;=$D13+$F13-1),2,IF(AND($C13="Milestone",AV$7&gt;=$D13,AV$7&lt;=$D13+$F13-1),1,""))</f>
        <v/>
      </c>
      <c r="AW13" s="11" t="str">
        <f>IF(AND($C13="Goal",AW$7&gt;=$D13,AW$7&lt;=$D13+$F13-1),2,IF(AND($C13="Milestone",AW$7&gt;=$D13,AW$7&lt;=$D13+$F13-1),1,""))</f>
        <v/>
      </c>
      <c r="AX13" s="11" t="str">
        <f>IF(AND($C13="Goal",AX$7&gt;=$D13,AX$7&lt;=$D13+$F13-1),2,IF(AND($C13="Milestone",AX$7&gt;=$D13,AX$7&lt;=$D13+$F13-1),1,""))</f>
        <v/>
      </c>
      <c r="AY13" s="11" t="str">
        <f>IF(AND($C13="Goal",AY$7&gt;=$D13,AY$7&lt;=$D13+$F13-1),2,IF(AND($C13="Milestone",AY$7&gt;=$D13,AY$7&lt;=$D13+$F13-1),1,""))</f>
        <v/>
      </c>
      <c r="AZ13" s="11" t="str">
        <f>IF(AND($C13="Goal",AZ$7&gt;=$D13,AZ$7&lt;=$D13+$F13-1),2,IF(AND($C13="Milestone",AZ$7&gt;=$D13,AZ$7&lt;=$D13+$F13-1),1,""))</f>
        <v/>
      </c>
      <c r="BA13" s="11" t="str">
        <f>IF(AND($C13="Goal",BA$7&gt;=$D13,BA$7&lt;=$D13+$F13-1),2,IF(AND($C13="Milestone",BA$7&gt;=$D13,BA$7&lt;=$D13+$F13-1),1,""))</f>
        <v/>
      </c>
      <c r="BB13" s="11" t="str">
        <f>IF(AND($C13="Goal",BB$7&gt;=$D13,BB$7&lt;=$D13+$F13-1),2,IF(AND($C13="Milestone",BB$7&gt;=$D13,BB$7&lt;=$D13+$F13-1),1,""))</f>
        <v/>
      </c>
      <c r="BC13" s="11" t="str">
        <f>IF(AND($C13="Goal",BC$7&gt;=$D13,BC$7&lt;=$D13+$F13-1),2,IF(AND($C13="Milestone",BC$7&gt;=$D13,BC$7&lt;=$D13+$F13-1),1,""))</f>
        <v/>
      </c>
      <c r="BD13" s="11" t="str">
        <f>IF(AND($C13="Goal",BD$7&gt;=$D13,BD$7&lt;=$D13+$F13-1),2,IF(AND($C13="Milestone",BD$7&gt;=$D13,BD$7&lt;=$D13+$F13-1),1,""))</f>
        <v/>
      </c>
      <c r="BE13" s="11" t="str">
        <f>IF(AND($C13="Goal",BE$7&gt;=$D13,BE$7&lt;=$D13+$F13-1),2,IF(AND($C13="Milestone",BE$7&gt;=$D13,BE$7&lt;=$D13+$F13-1),1,""))</f>
        <v/>
      </c>
      <c r="BF13" s="11" t="str">
        <f>IF(AND($C13="Goal",BF$7&gt;=$D13,BF$7&lt;=$D13+$F13-1),2,IF(AND($C13="Milestone",BF$7&gt;=$D13,BF$7&lt;=$D13+$F13-1),1,""))</f>
        <v/>
      </c>
      <c r="BG13" s="11" t="str">
        <f>IF(AND($C13="Goal",BG$7&gt;=$D13,BG$7&lt;=$D13+$F13-1),2,IF(AND($C13="Milestone",BG$7&gt;=$D13,BG$7&lt;=$D13+$F13-1),1,""))</f>
        <v/>
      </c>
      <c r="BH13" s="11" t="str">
        <f>IF(AND($C13="Goal",BH$7&gt;=$D13,BH$7&lt;=$D13+$F13-1),2,IF(AND($C13="Milestone",BH$7&gt;=$D13,BH$7&lt;=$D13+$F13-1),1,""))</f>
        <v/>
      </c>
      <c r="BI13" s="11" t="str">
        <f>IF(AND($C13="Goal",BI$7&gt;=$D13,BI$7&lt;=$D13+$F13-1),2,IF(AND($C13="Milestone",BI$7&gt;=$D13,BI$7&lt;=$D13+$F13-1),1,""))</f>
        <v/>
      </c>
      <c r="BJ13" s="11" t="str">
        <f>IF(AND($C13="Goal",BJ$7&gt;=$D13,BJ$7&lt;=$D13+$F13-1),2,IF(AND($C13="Milestone",BJ$7&gt;=$D13,BJ$7&lt;=$D13+$F13-1),1,""))</f>
        <v/>
      </c>
      <c r="BK13" s="11" t="str">
        <f>IF(AND($C13="Goal",BK$7&gt;=$D13,BK$7&lt;=$D13+$F13-1),2,IF(AND($C13="Milestone",BK$7&gt;=$D13,BK$7&lt;=$D13+$F13-1),1,""))</f>
        <v/>
      </c>
      <c r="BL13" s="11" t="str">
        <f>IF(AND($C13="Goal",BL$7&gt;=$D13,BL$7&lt;=$D13+$F13-1),2,IF(AND($C13="Milestone",BL$7&gt;=$D13,BL$7&lt;=$D13+$F13-1),1,""))</f>
        <v/>
      </c>
      <c r="BM13" s="11" t="str">
        <f>IF(AND($C13="Goal",BM$7&gt;=$D13,BM$7&lt;=$D13+$F13-1),2,IF(AND($C13="Milestone",BM$7&gt;=$D13,BM$7&lt;=$D13+$F13-1),1,""))</f>
        <v/>
      </c>
      <c r="BN13" s="11" t="str">
        <f>IF(AND($C13="Goal",BN$7&gt;=$D13,BN$7&lt;=$D13+$F13-1),2,IF(AND($C13="Milestone",BN$7&gt;=$D13,BN$7&lt;=$D13+$F13-1),1,""))</f>
        <v/>
      </c>
      <c r="BO13" s="11" t="str">
        <f>IF(AND($C13="Goal",BO$7&gt;=$D13,BO$7&lt;=$D13+$F13-1),2,IF(AND($C13="Milestone",BO$7&gt;=$D13,BO$7&lt;=$D13+$F13-1),1,""))</f>
        <v/>
      </c>
      <c r="BP13" s="11" t="str">
        <f>IF(AND($C13="Goal",BP$7&gt;=$D13,BP$7&lt;=$D13+$F13-1),2,IF(AND($C13="Milestone",BP$7&gt;=$D13,BP$7&lt;=$D13+$F13-1),1,""))</f>
        <v/>
      </c>
      <c r="BQ13" s="11" t="str">
        <f>IF(AND($C13="Goal",BQ$7&gt;=$D13,BQ$7&lt;=$D13+$F13-1),2,IF(AND($C13="Milestone",BQ$7&gt;=$D13,BQ$7&lt;=$D13+$F13-1),1,""))</f>
        <v/>
      </c>
      <c r="BR13" s="11" t="str">
        <f>IF(AND($C13="Goal",BR$7&gt;=$D13,BR$7&lt;=$D13+$F13-1),2,IF(AND($C13="Milestone",BR$7&gt;=$D13,BR$7&lt;=$D13+$F13-1),1,""))</f>
        <v/>
      </c>
      <c r="BS13" s="11" t="str">
        <f>IF(AND($C13="Goal",BS$7&gt;=$D13,BS$7&lt;=$D13+$F13-1),2,IF(AND($C13="Milestone",BS$7&gt;=$D13,BS$7&lt;=$D13+$F13-1),1,""))</f>
        <v/>
      </c>
      <c r="BT13" s="11" t="str">
        <f>IF(AND($C13="Goal",BT$7&gt;=$D13,BT$7&lt;=$D13+$F13-1),2,IF(AND($C13="Milestone",BT$7&gt;=$D13,BT$7&lt;=$D13+$F13-1),1,""))</f>
        <v/>
      </c>
      <c r="BU13" s="11" t="str">
        <f>IF(AND($C13="Goal",BU$7&gt;=$D13,BU$7&lt;=$D13+$F13-1),2,IF(AND($C13="Milestone",BU$7&gt;=$D13,BU$7&lt;=$D13+$F13-1),1,""))</f>
        <v/>
      </c>
      <c r="BV13" s="11" t="str">
        <f>IF(AND($C13="Goal",BV$7&gt;=$D13,BV$7&lt;=$D13+$F13-1),2,IF(AND($C13="Milestone",BV$7&gt;=$D13,BV$7&lt;=$D13+$F13-1),1,""))</f>
        <v/>
      </c>
      <c r="BW13" s="11" t="str">
        <f>IF(AND($C13="Goal",BW$7&gt;=$D13,BW$7&lt;=$D13+$F13-1),2,IF(AND($C13="Milestone",BW$7&gt;=$D13,BW$7&lt;=$D13+$F13-1),1,""))</f>
        <v/>
      </c>
      <c r="BX13" s="11" t="str">
        <f>IF(AND($C13="Goal",BX$7&gt;=$D13,BX$7&lt;=$D13+$F13-1),2,IF(AND($C13="Milestone",BX$7&gt;=$D13,BX$7&lt;=$D13+$F13-1),1,""))</f>
        <v/>
      </c>
      <c r="BY13" s="11" t="str">
        <f>IF(AND($C13="Goal",BY$7&gt;=$D13,BY$7&lt;=$D13+$F13-1),2,IF(AND($C13="Milestone",BY$7&gt;=$D13,BY$7&lt;=$D13+$F13-1),1,""))</f>
        <v/>
      </c>
      <c r="BZ13" s="11" t="str">
        <f>IF(AND($C13="Goal",BZ$7&gt;=$D13,BZ$7&lt;=$D13+$F13-1),2,IF(AND($C13="Milestone",BZ$7&gt;=$D13,BZ$7&lt;=$D13+$F13-1),1,""))</f>
        <v/>
      </c>
      <c r="CA13" s="11" t="str">
        <f>IF(AND($C13="Goal",CA$7&gt;=$D13,CA$7&lt;=$D13+$F13-1),2,IF(AND($C13="Milestone",CA$7&gt;=$D13,CA$7&lt;=$D13+$F13-1),1,""))</f>
        <v/>
      </c>
      <c r="CB13" s="11" t="str">
        <f>IF(AND($C13="Goal",CB$7&gt;=$D13,CB$7&lt;=$D13+$F13-1),2,IF(AND($C13="Milestone",CB$7&gt;=$D13,CB$7&lt;=$D13+$F13-1),1,""))</f>
        <v/>
      </c>
      <c r="CC13" s="11" t="str">
        <f>IF(AND($C13="Goal",CC$7&gt;=$D13,CC$7&lt;=$D13+$F13-1),2,IF(AND($C13="Milestone",CC$7&gt;=$D13,CC$7&lt;=$D13+$F13-1),1,""))</f>
        <v/>
      </c>
      <c r="CD13" s="11" t="str">
        <f>IF(AND($C13="Goal",CD$7&gt;=$D13,CD$7&lt;=$D13+$F13-1),2,IF(AND($C13="Milestone",CD$7&gt;=$D13,CD$7&lt;=$D13+$F13-1),1,""))</f>
        <v/>
      </c>
      <c r="CE13" s="11" t="str">
        <f>IF(AND($C13="Goal",CE$7&gt;=$D13,CE$7&lt;=$D13+$F13-1),2,IF(AND($C13="Milestone",CE$7&gt;=$D13,CE$7&lt;=$D13+$F13-1),1,""))</f>
        <v/>
      </c>
      <c r="CF13" s="11" t="str">
        <f>IF(AND($C13="Goal",CF$7&gt;=$D13,CF$7&lt;=$D13+$F13-1),2,IF(AND($C13="Milestone",CF$7&gt;=$D13,CF$7&lt;=$D13+$F13-1),1,""))</f>
        <v/>
      </c>
      <c r="CG13" s="11" t="str">
        <f>IF(AND($C13="Goal",CG$7&gt;=$D13,CG$7&lt;=$D13+$F13-1),2,IF(AND($C13="Milestone",CG$7&gt;=$D13,CG$7&lt;=$D13+$F13-1),1,""))</f>
        <v/>
      </c>
      <c r="CH13" s="11" t="str">
        <f>IF(AND($C13="Goal",CH$7&gt;=$D13,CH$7&lt;=$D13+$F13-1),2,IF(AND($C13="Milestone",CH$7&gt;=$D13,CH$7&lt;=$D13+$F13-1),1,""))</f>
        <v/>
      </c>
      <c r="CI13" s="11" t="str">
        <f>IF(AND($C13="Goal",CI$7&gt;=$D13,CI$7&lt;=$D13+$F13-1),2,IF(AND($C13="Milestone",CI$7&gt;=$D13,CI$7&lt;=$D13+$F13-1),1,""))</f>
        <v/>
      </c>
      <c r="CJ13" s="11" t="str">
        <f>IF(AND($C13="Goal",CJ$7&gt;=$D13,CJ$7&lt;=$D13+$F13-1),2,IF(AND($C13="Milestone",CJ$7&gt;=$D13,CJ$7&lt;=$D13+$F13-1),1,""))</f>
        <v/>
      </c>
      <c r="CK13" s="11" t="str">
        <f>IF(AND($C13="Goal",CK$7&gt;=$D13,CK$7&lt;=$D13+$F13-1),2,IF(AND($C13="Milestone",CK$7&gt;=$D13,CK$7&lt;=$D13+$F13-1),1,""))</f>
        <v/>
      </c>
      <c r="CL13" s="11" t="str">
        <f>IF(AND($C13="Goal",CL$7&gt;=$D13,CL$7&lt;=$D13+$F13-1),2,IF(AND($C13="Milestone",CL$7&gt;=$D13,CL$7&lt;=$D13+$F13-1),1,""))</f>
        <v/>
      </c>
      <c r="CM13" s="11" t="str">
        <f>IF(AND($C13="Goal",CM$7&gt;=$D13,CM$7&lt;=$D13+$F13-1),2,IF(AND($C13="Milestone",CM$7&gt;=$D13,CM$7&lt;=$D13+$F13-1),1,""))</f>
        <v/>
      </c>
      <c r="CN13" s="11" t="str">
        <f>IF(AND($C13="Goal",CN$7&gt;=$D13,CN$7&lt;=$D13+$F13-1),2,IF(AND($C13="Milestone",CN$7&gt;=$D13,CN$7&lt;=$D13+$F13-1),1,""))</f>
        <v/>
      </c>
      <c r="CO13" s="11" t="str">
        <f>IF(AND($C13="Goal",CO$7&gt;=$D13,CO$7&lt;=$D13+$F13-1),2,IF(AND($C13="Milestone",CO$7&gt;=$D13,CO$7&lt;=$D13+$F13-1),1,""))</f>
        <v/>
      </c>
      <c r="CP13" s="11" t="str">
        <f>IF(AND($C13="Goal",CP$7&gt;=$D13,CP$7&lt;=$D13+$F13-1),2,IF(AND($C13="Milestone",CP$7&gt;=$D13,CP$7&lt;=$D13+$F13-1),1,""))</f>
        <v/>
      </c>
      <c r="CQ13" s="11" t="str">
        <f>IF(AND($C13="Goal",CQ$7&gt;=$D13,CQ$7&lt;=$D13+$F13-1),2,IF(AND($C13="Milestone",CQ$7&gt;=$D13,CQ$7&lt;=$D13+$F13-1),1,""))</f>
        <v/>
      </c>
      <c r="CR13" s="11" t="str">
        <f>IF(AND($C13="Goal",CR$7&gt;=$D13,CR$7&lt;=$D13+$F13-1),2,IF(AND($C13="Milestone",CR$7&gt;=$D13,CR$7&lt;=$D13+$F13-1),1,""))</f>
        <v/>
      </c>
      <c r="CS13" s="11" t="str">
        <f>IF(AND($C13="Goal",CS$7&gt;=$D13,CS$7&lt;=$D13+$F13-1),2,IF(AND($C13="Milestone",CS$7&gt;=$D13,CS$7&lt;=$D13+$F13-1),1,""))</f>
        <v/>
      </c>
      <c r="CT13" s="11" t="str">
        <f>IF(AND($C13="Goal",CT$7&gt;=$D13,CT$7&lt;=$D13+$F13-1),2,IF(AND($C13="Milestone",CT$7&gt;=$D13,CT$7&lt;=$D13+$F13-1),1,""))</f>
        <v/>
      </c>
      <c r="CU13" s="11" t="str">
        <f>IF(AND($C13="Goal",CU$7&gt;=$D13,CU$7&lt;=$D13+$F13-1),2,IF(AND($C13="Milestone",CU$7&gt;=$D13,CU$7&lt;=$D13+$F13-1),1,""))</f>
        <v/>
      </c>
      <c r="CV13" s="11" t="str">
        <f>IF(AND($C13="Goal",CV$7&gt;=$D13,CV$7&lt;=$D13+$F13-1),2,IF(AND($C13="Milestone",CV$7&gt;=$D13,CV$7&lt;=$D13+$F13-1),1,""))</f>
        <v/>
      </c>
      <c r="CW13" s="11" t="str">
        <f>IF(AND($C13="Goal",CW$7&gt;=$D13,CW$7&lt;=$D13+$F13-1),2,IF(AND($C13="Milestone",CW$7&gt;=$D13,CW$7&lt;=$D13+$F13-1),1,""))</f>
        <v/>
      </c>
      <c r="CX13" s="11" t="str">
        <f>IF(AND($C13="Goal",CX$7&gt;=$D13,CX$7&lt;=$D13+$F13-1),2,IF(AND($C13="Milestone",CX$7&gt;=$D13,CX$7&lt;=$D13+$F13-1),1,""))</f>
        <v/>
      </c>
      <c r="CY13" s="11" t="str">
        <f>IF(AND($C13="Goal",CY$7&gt;=$D13,CY$7&lt;=$D13+$F13-1),2,IF(AND($C13="Milestone",CY$7&gt;=$D13,CY$7&lt;=$D13+$F13-1),1,""))</f>
        <v/>
      </c>
      <c r="CZ13" s="11" t="str">
        <f>IF(AND($C13="Goal",CZ$7&gt;=$D13,CZ$7&lt;=$D13+$F13-1),2,IF(AND($C13="Milestone",CZ$7&gt;=$D13,CZ$7&lt;=$D13+$F13-1),1,""))</f>
        <v/>
      </c>
      <c r="DA13" s="11" t="str">
        <f>IF(AND($C13="Goal",DA$7&gt;=$D13,DA$7&lt;=$D13+$F13-1),2,IF(AND($C13="Milestone",DA$7&gt;=$D13,DA$7&lt;=$D13+$F13-1),1,""))</f>
        <v/>
      </c>
      <c r="DB13" s="11" t="str">
        <f>IF(AND($C13="Goal",DB$7&gt;=$D13,DB$7&lt;=$D13+$F13-1),2,IF(AND($C13="Milestone",DB$7&gt;=$D13,DB$7&lt;=$D13+$F13-1),1,""))</f>
        <v/>
      </c>
      <c r="DC13" s="11" t="str">
        <f>IF(AND($C13="Goal",DC$7&gt;=$D13,DC$7&lt;=$D13+$F13-1),2,IF(AND($C13="Milestone",DC$7&gt;=$D13,DC$7&lt;=$D13+$F13-1),1,""))</f>
        <v/>
      </c>
      <c r="DD13" s="11" t="str">
        <f>IF(AND($C13="Goal",DD$7&gt;=$D13,DD$7&lt;=$D13+$F13-1),2,IF(AND($C13="Milestone",DD$7&gt;=$D13,DD$7&lt;=$D13+$F13-1),1,""))</f>
        <v/>
      </c>
      <c r="DE13" s="11" t="str">
        <f>IF(AND($C13="Goal",DE$7&gt;=$D13,DE$7&lt;=$D13+$F13-1),2,IF(AND($C13="Milestone",DE$7&gt;=$D13,DE$7&lt;=$D13+$F13-1),1,""))</f>
        <v/>
      </c>
      <c r="DF13" s="11" t="str">
        <f>IF(AND($C13="Goal",DF$7&gt;=$D13,DF$7&lt;=$D13+$F13-1),2,IF(AND($C13="Milestone",DF$7&gt;=$D13,DF$7&lt;=$D13+$F13-1),1,""))</f>
        <v/>
      </c>
    </row>
    <row r="14" spans="1:110" s="1" customFormat="1" ht="40.15" customHeight="1" x14ac:dyDescent="0.35">
      <c r="A14" s="4"/>
      <c r="B14" s="43" t="s">
        <v>7</v>
      </c>
      <c r="C14" s="13" t="s">
        <v>4</v>
      </c>
      <c r="D14" s="14">
        <v>45970</v>
      </c>
      <c r="E14" s="14">
        <f>Milestones4352[[#This Row],[Ínicio]]+Milestones4352[[#This Row],[Nº Dias]]-1</f>
        <v>45979</v>
      </c>
      <c r="F14" s="15">
        <v>10</v>
      </c>
      <c r="G14" s="13"/>
      <c r="H14" s="11" t="str">
        <f>IF(AND($C14="Goal",H$7&gt;=$D14,H$7&lt;=$D14+$F14-1),2,IF(AND($C14="Milestone",H$7&gt;=$D14,H$7&lt;=$D14+$F14-1),1,""))</f>
        <v/>
      </c>
      <c r="I14" s="11" t="str">
        <f>IF(AND($C14="Goal",I$7&gt;=$D14,I$7&lt;=$D14+$F14-1),2,IF(AND($C14="Milestone",I$7&gt;=$D14,I$7&lt;=$D14+$F14-1),1,""))</f>
        <v/>
      </c>
      <c r="J14" s="11" t="str">
        <f>IF(AND($C14="Goal",J$7&gt;=$D14,J$7&lt;=$D14+$F14-1),2,IF(AND($C14="Milestone",J$7&gt;=$D14,J$7&lt;=$D14+$F14-1),1,""))</f>
        <v/>
      </c>
      <c r="K14" s="11" t="str">
        <f>IF(AND($C14="Goal",K$7&gt;=$D14,K$7&lt;=$D14+$F14-1),2,IF(AND($C14="Milestone",K$7&gt;=$D14,K$7&lt;=$D14+$F14-1),1,""))</f>
        <v/>
      </c>
      <c r="L14" s="11" t="str">
        <f>IF(AND($C14="Goal",L$7&gt;=$D14,L$7&lt;=$D14+$F14-1),2,IF(AND($C14="Milestone",L$7&gt;=$D14,L$7&lt;=$D14+$F14-1),1,""))</f>
        <v/>
      </c>
      <c r="M14" s="11" t="str">
        <f>IF(AND($C14="Goal",M$7&gt;=$D14,M$7&lt;=$D14+$F14-1),2,IF(AND($C14="Milestone",M$7&gt;=$D14,M$7&lt;=$D14+$F14-1),1,""))</f>
        <v/>
      </c>
      <c r="N14" s="11" t="str">
        <f>IF(AND($C14="Goal",N$7&gt;=$D14,N$7&lt;=$D14+$F14-1),2,IF(AND($C14="Milestone",N$7&gt;=$D14,N$7&lt;=$D14+$F14-1),1,""))</f>
        <v/>
      </c>
      <c r="O14" s="11" t="str">
        <f>IF(AND($C14="Goal",O$7&gt;=$D14,O$7&lt;=$D14+$F14-1),2,IF(AND($C14="Milestone",O$7&gt;=$D14,O$7&lt;=$D14+$F14-1),1,""))</f>
        <v/>
      </c>
      <c r="P14" s="11" t="str">
        <f>IF(AND($C14="Goal",P$7&gt;=$D14,P$7&lt;=$D14+$F14-1),2,IF(AND($C14="Milestone",P$7&gt;=$D14,P$7&lt;=$D14+$F14-1),1,""))</f>
        <v/>
      </c>
      <c r="Q14" s="11" t="str">
        <f>IF(AND($C14="Goal",Q$7&gt;=$D14,Q$7&lt;=$D14+$F14-1),2,IF(AND($C14="Milestone",Q$7&gt;=$D14,Q$7&lt;=$D14+$F14-1),1,""))</f>
        <v/>
      </c>
      <c r="R14" s="11" t="str">
        <f>IF(AND($C14="Goal",R$7&gt;=$D14,R$7&lt;=$D14+$F14-1),2,IF(AND($C14="Milestone",R$7&gt;=$D14,R$7&lt;=$D14+$F14-1),1,""))</f>
        <v/>
      </c>
      <c r="S14" s="11" t="str">
        <f>IF(AND($C14="Goal",S$7&gt;=$D14,S$7&lt;=$D14+$F14-1),2,IF(AND($C14="Milestone",S$7&gt;=$D14,S$7&lt;=$D14+$F14-1),1,""))</f>
        <v/>
      </c>
      <c r="T14" s="11" t="str">
        <f>IF(AND($C14="Goal",T$7&gt;=$D14,T$7&lt;=$D14+$F14-1),2,IF(AND($C14="Milestone",T$7&gt;=$D14,T$7&lt;=$D14+$F14-1),1,""))</f>
        <v/>
      </c>
      <c r="U14" s="11" t="str">
        <f>IF(AND($C14="Goal",U$7&gt;=$D14,U$7&lt;=$D14+$F14-1),2,IF(AND($C14="Milestone",U$7&gt;=$D14,U$7&lt;=$D14+$F14-1),1,""))</f>
        <v/>
      </c>
      <c r="V14" s="11" t="str">
        <f>IF(AND($C14="Goal",V$7&gt;=$D14,V$7&lt;=$D14+$F14-1),2,IF(AND($C14="Milestone",V$7&gt;=$D14,V$7&lt;=$D14+$F14-1),1,""))</f>
        <v/>
      </c>
      <c r="W14" s="11" t="str">
        <f>IF(AND($C14="Goal",W$7&gt;=$D14,W$7&lt;=$D14+$F14-1),2,IF(AND($C14="Milestone",W$7&gt;=$D14,W$7&lt;=$D14+$F14-1),1,""))</f>
        <v/>
      </c>
      <c r="X14" s="11" t="str">
        <f>IF(AND($C14="Goal",X$7&gt;=$D14,X$7&lt;=$D14+$F14-1),2,IF(AND($C14="Milestone",X$7&gt;=$D14,X$7&lt;=$D14+$F14-1),1,""))</f>
        <v/>
      </c>
      <c r="Y14" s="11" t="str">
        <f>IF(AND($C14="Goal",Y$7&gt;=$D14,Y$7&lt;=$D14+$F14-1),2,IF(AND($C14="Milestone",Y$7&gt;=$D14,Y$7&lt;=$D14+$F14-1),1,""))</f>
        <v/>
      </c>
      <c r="Z14" s="11" t="str">
        <f>IF(AND($C14="Goal",Z$7&gt;=$D14,Z$7&lt;=$D14+$F14-1),2,IF(AND($C14="Milestone",Z$7&gt;=$D14,Z$7&lt;=$D14+$F14-1),1,""))</f>
        <v/>
      </c>
      <c r="AA14" s="11" t="str">
        <f>IF(AND($C14="Goal",AA$7&gt;=$D14,AA$7&lt;=$D14+$F14-1),2,IF(AND($C14="Milestone",AA$7&gt;=$D14,AA$7&lt;=$D14+$F14-1),1,""))</f>
        <v/>
      </c>
      <c r="AB14" s="11" t="str">
        <f>IF(AND($C14="Goal",AB$7&gt;=$D14,AB$7&lt;=$D14+$F14-1),2,IF(AND($C14="Milestone",AB$7&gt;=$D14,AB$7&lt;=$D14+$F14-1),1,""))</f>
        <v/>
      </c>
      <c r="AC14" s="11" t="str">
        <f>IF(AND($C14="Goal",AC$7&gt;=$D14,AC$7&lt;=$D14+$F14-1),2,IF(AND($C14="Milestone",AC$7&gt;=$D14,AC$7&lt;=$D14+$F14-1),1,""))</f>
        <v/>
      </c>
      <c r="AD14" s="11" t="str">
        <f>IF(AND($C14="Goal",AD$7&gt;=$D14,AD$7&lt;=$D14+$F14-1),2,IF(AND($C14="Milestone",AD$7&gt;=$D14,AD$7&lt;=$D14+$F14-1),1,""))</f>
        <v/>
      </c>
      <c r="AE14" s="11" t="str">
        <f>IF(AND($C14="Goal",AE$7&gt;=$D14,AE$7&lt;=$D14+$F14-1),2,IF(AND($C14="Milestone",AE$7&gt;=$D14,AE$7&lt;=$D14+$F14-1),1,""))</f>
        <v/>
      </c>
      <c r="AF14" s="11" t="str">
        <f>IF(AND($C14="Goal",AF$7&gt;=$D14,AF$7&lt;=$D14+$F14-1),2,IF(AND($C14="Milestone",AF$7&gt;=$D14,AF$7&lt;=$D14+$F14-1),1,""))</f>
        <v/>
      </c>
      <c r="AG14" s="11" t="str">
        <f>IF(AND($C14="Goal",AG$7&gt;=$D14,AG$7&lt;=$D14+$F14-1),2,IF(AND($C14="Milestone",AG$7&gt;=$D14,AG$7&lt;=$D14+$F14-1),1,""))</f>
        <v/>
      </c>
      <c r="AH14" s="11" t="str">
        <f>IF(AND($C14="Goal",AH$7&gt;=$D14,AH$7&lt;=$D14+$F14-1),2,IF(AND($C14="Milestone",AH$7&gt;=$D14,AH$7&lt;=$D14+$F14-1),1,""))</f>
        <v/>
      </c>
      <c r="AI14" s="11" t="str">
        <f>IF(AND($C14="Goal",AI$7&gt;=$D14,AI$7&lt;=$D14+$F14-1),2,IF(AND($C14="Milestone",AI$7&gt;=$D14,AI$7&lt;=$D14+$F14-1),1,""))</f>
        <v/>
      </c>
      <c r="AJ14" s="11" t="str">
        <f>IF(AND($C14="Goal",AJ$7&gt;=$D14,AJ$7&lt;=$D14+$F14-1),2,IF(AND($C14="Milestone",AJ$7&gt;=$D14,AJ$7&lt;=$D14+$F14-1),1,""))</f>
        <v/>
      </c>
      <c r="AK14" s="11" t="str">
        <f>IF(AND($C14="Goal",AK$7&gt;=$D14,AK$7&lt;=$D14+$F14-1),2,IF(AND($C14="Milestone",AK$7&gt;=$D14,AK$7&lt;=$D14+$F14-1),1,""))</f>
        <v/>
      </c>
      <c r="AL14" s="11" t="str">
        <f>IF(AND($C14="Goal",AL$7&gt;=$D14,AL$7&lt;=$D14+$F14-1),2,IF(AND($C14="Milestone",AL$7&gt;=$D14,AL$7&lt;=$D14+$F14-1),1,""))</f>
        <v/>
      </c>
      <c r="AM14" s="11" t="str">
        <f>IF(AND($C14="Goal",AM$7&gt;=$D14,AM$7&lt;=$D14+$F14-1),2,IF(AND($C14="Milestone",AM$7&gt;=$D14,AM$7&lt;=$D14+$F14-1),1,""))</f>
        <v/>
      </c>
      <c r="AN14" s="11" t="str">
        <f>IF(AND($C14="Goal",AN$7&gt;=$D14,AN$7&lt;=$D14+$F14-1),2,IF(AND($C14="Milestone",AN$7&gt;=$D14,AN$7&lt;=$D14+$F14-1),1,""))</f>
        <v/>
      </c>
      <c r="AO14" s="11" t="str">
        <f>IF(AND($C14="Goal",AO$7&gt;=$D14,AO$7&lt;=$D14+$F14-1),2,IF(AND($C14="Milestone",AO$7&gt;=$D14,AO$7&lt;=$D14+$F14-1),1,""))</f>
        <v/>
      </c>
      <c r="AP14" s="11" t="str">
        <f>IF(AND($C14="Goal",AP$7&gt;=$D14,AP$7&lt;=$D14+$F14-1),2,IF(AND($C14="Milestone",AP$7&gt;=$D14,AP$7&lt;=$D14+$F14-1),1,""))</f>
        <v/>
      </c>
      <c r="AQ14" s="11" t="str">
        <f>IF(AND($C14="Goal",AQ$7&gt;=$D14,AQ$7&lt;=$D14+$F14-1),2,IF(AND($C14="Milestone",AQ$7&gt;=$D14,AQ$7&lt;=$D14+$F14-1),1,""))</f>
        <v/>
      </c>
      <c r="AR14" s="11" t="str">
        <f>IF(AND($C14="Goal",AR$7&gt;=$D14,AR$7&lt;=$D14+$F14-1),2,IF(AND($C14="Milestone",AR$7&gt;=$D14,AR$7&lt;=$D14+$F14-1),1,""))</f>
        <v/>
      </c>
      <c r="AS14" s="11" t="str">
        <f>IF(AND($C14="Goal",AS$7&gt;=$D14,AS$7&lt;=$D14+$F14-1),2,IF(AND($C14="Milestone",AS$7&gt;=$D14,AS$7&lt;=$D14+$F14-1),1,""))</f>
        <v/>
      </c>
      <c r="AT14" s="11" t="str">
        <f>IF(AND($C14="Goal",AT$7&gt;=$D14,AT$7&lt;=$D14+$F14-1),2,IF(AND($C14="Milestone",AT$7&gt;=$D14,AT$7&lt;=$D14+$F14-1),1,""))</f>
        <v/>
      </c>
      <c r="AU14" s="11" t="str">
        <f>IF(AND($C14="Goal",AU$7&gt;=$D14,AU$7&lt;=$D14+$F14-1),2,IF(AND($C14="Milestone",AU$7&gt;=$D14,AU$7&lt;=$D14+$F14-1),1,""))</f>
        <v/>
      </c>
      <c r="AV14" s="11" t="str">
        <f>IF(AND($C14="Goal",AV$7&gt;=$D14,AV$7&lt;=$D14+$F14-1),2,IF(AND($C14="Milestone",AV$7&gt;=$D14,AV$7&lt;=$D14+$F14-1),1,""))</f>
        <v/>
      </c>
      <c r="AW14" s="11" t="str">
        <f>IF(AND($C14="Goal",AW$7&gt;=$D14,AW$7&lt;=$D14+$F14-1),2,IF(AND($C14="Milestone",AW$7&gt;=$D14,AW$7&lt;=$D14+$F14-1),1,""))</f>
        <v/>
      </c>
      <c r="AX14" s="11" t="str">
        <f>IF(AND($C14="Goal",AX$7&gt;=$D14,AX$7&lt;=$D14+$F14-1),2,IF(AND($C14="Milestone",AX$7&gt;=$D14,AX$7&lt;=$D14+$F14-1),1,""))</f>
        <v/>
      </c>
      <c r="AY14" s="11" t="str">
        <f>IF(AND($C14="Goal",AY$7&gt;=$D14,AY$7&lt;=$D14+$F14-1),2,IF(AND($C14="Milestone",AY$7&gt;=$D14,AY$7&lt;=$D14+$F14-1),1,""))</f>
        <v/>
      </c>
      <c r="AZ14" s="11" t="str">
        <f>IF(AND($C14="Goal",AZ$7&gt;=$D14,AZ$7&lt;=$D14+$F14-1),2,IF(AND($C14="Milestone",AZ$7&gt;=$D14,AZ$7&lt;=$D14+$F14-1),1,""))</f>
        <v/>
      </c>
      <c r="BA14" s="11" t="str">
        <f>IF(AND($C14="Goal",BA$7&gt;=$D14,BA$7&lt;=$D14+$F14-1),2,IF(AND($C14="Milestone",BA$7&gt;=$D14,BA$7&lt;=$D14+$F14-1),1,""))</f>
        <v/>
      </c>
      <c r="BB14" s="11" t="str">
        <f>IF(AND($C14="Goal",BB$7&gt;=$D14,BB$7&lt;=$D14+$F14-1),2,IF(AND($C14="Milestone",BB$7&gt;=$D14,BB$7&lt;=$D14+$F14-1),1,""))</f>
        <v/>
      </c>
      <c r="BC14" s="11" t="str">
        <f>IF(AND($C14="Goal",BC$7&gt;=$D14,BC$7&lt;=$D14+$F14-1),2,IF(AND($C14="Milestone",BC$7&gt;=$D14,BC$7&lt;=$D14+$F14-1),1,""))</f>
        <v/>
      </c>
      <c r="BD14" s="11" t="str">
        <f>IF(AND($C14="Goal",BD$7&gt;=$D14,BD$7&lt;=$D14+$F14-1),2,IF(AND($C14="Milestone",BD$7&gt;=$D14,BD$7&lt;=$D14+$F14-1),1,""))</f>
        <v/>
      </c>
      <c r="BE14" s="11" t="str">
        <f>IF(AND($C14="Goal",BE$7&gt;=$D14,BE$7&lt;=$D14+$F14-1),2,IF(AND($C14="Milestone",BE$7&gt;=$D14,BE$7&lt;=$D14+$F14-1),1,""))</f>
        <v/>
      </c>
      <c r="BF14" s="11" t="str">
        <f>IF(AND($C14="Goal",BF$7&gt;=$D14,BF$7&lt;=$D14+$F14-1),2,IF(AND($C14="Milestone",BF$7&gt;=$D14,BF$7&lt;=$D14+$F14-1),1,""))</f>
        <v/>
      </c>
      <c r="BG14" s="11" t="str">
        <f>IF(AND($C14="Goal",BG$7&gt;=$D14,BG$7&lt;=$D14+$F14-1),2,IF(AND($C14="Milestone",BG$7&gt;=$D14,BG$7&lt;=$D14+$F14-1),1,""))</f>
        <v/>
      </c>
      <c r="BH14" s="11" t="str">
        <f>IF(AND($C14="Goal",BH$7&gt;=$D14,BH$7&lt;=$D14+$F14-1),2,IF(AND($C14="Milestone",BH$7&gt;=$D14,BH$7&lt;=$D14+$F14-1),1,""))</f>
        <v/>
      </c>
      <c r="BI14" s="11" t="str">
        <f>IF(AND($C14="Goal",BI$7&gt;=$D14,BI$7&lt;=$D14+$F14-1),2,IF(AND($C14="Milestone",BI$7&gt;=$D14,BI$7&lt;=$D14+$F14-1),1,""))</f>
        <v/>
      </c>
      <c r="BJ14" s="11" t="str">
        <f>IF(AND($C14="Goal",BJ$7&gt;=$D14,BJ$7&lt;=$D14+$F14-1),2,IF(AND($C14="Milestone",BJ$7&gt;=$D14,BJ$7&lt;=$D14+$F14-1),1,""))</f>
        <v/>
      </c>
      <c r="BK14" s="11" t="str">
        <f>IF(AND($C14="Goal",BK$7&gt;=$D14,BK$7&lt;=$D14+$F14-1),2,IF(AND($C14="Milestone",BK$7&gt;=$D14,BK$7&lt;=$D14+$F14-1),1,""))</f>
        <v/>
      </c>
      <c r="BL14" s="11" t="str">
        <f>IF(AND($C14="Goal",BL$7&gt;=$D14,BL$7&lt;=$D14+$F14-1),2,IF(AND($C14="Milestone",BL$7&gt;=$D14,BL$7&lt;=$D14+$F14-1),1,""))</f>
        <v/>
      </c>
      <c r="BM14" s="11" t="str">
        <f>IF(AND($C14="Goal",BM$7&gt;=$D14,BM$7&lt;=$D14+$F14-1),2,IF(AND($C14="Milestone",BM$7&gt;=$D14,BM$7&lt;=$D14+$F14-1),1,""))</f>
        <v/>
      </c>
      <c r="BN14" s="11" t="str">
        <f>IF(AND($C14="Goal",BN$7&gt;=$D14,BN$7&lt;=$D14+$F14-1),2,IF(AND($C14="Milestone",BN$7&gt;=$D14,BN$7&lt;=$D14+$F14-1),1,""))</f>
        <v/>
      </c>
      <c r="BO14" s="11" t="str">
        <f>IF(AND($C14="Goal",BO$7&gt;=$D14,BO$7&lt;=$D14+$F14-1),2,IF(AND($C14="Milestone",BO$7&gt;=$D14,BO$7&lt;=$D14+$F14-1),1,""))</f>
        <v/>
      </c>
      <c r="BP14" s="11" t="str">
        <f>IF(AND($C14="Goal",BP$7&gt;=$D14,BP$7&lt;=$D14+$F14-1),2,IF(AND($C14="Milestone",BP$7&gt;=$D14,BP$7&lt;=$D14+$F14-1),1,""))</f>
        <v/>
      </c>
      <c r="BQ14" s="11" t="str">
        <f>IF(AND($C14="Goal",BQ$7&gt;=$D14,BQ$7&lt;=$D14+$F14-1),2,IF(AND($C14="Milestone",BQ$7&gt;=$D14,BQ$7&lt;=$D14+$F14-1),1,""))</f>
        <v/>
      </c>
      <c r="BR14" s="11" t="str">
        <f>IF(AND($C14="Goal",BR$7&gt;=$D14,BR$7&lt;=$D14+$F14-1),2,IF(AND($C14="Milestone",BR$7&gt;=$D14,BR$7&lt;=$D14+$F14-1),1,""))</f>
        <v/>
      </c>
      <c r="BS14" s="11" t="str">
        <f>IF(AND($C14="Goal",BS$7&gt;=$D14,BS$7&lt;=$D14+$F14-1),2,IF(AND($C14="Milestone",BS$7&gt;=$D14,BS$7&lt;=$D14+$F14-1),1,""))</f>
        <v/>
      </c>
      <c r="BT14" s="11" t="str">
        <f>IF(AND($C14="Goal",BT$7&gt;=$D14,BT$7&lt;=$D14+$F14-1),2,IF(AND($C14="Milestone",BT$7&gt;=$D14,BT$7&lt;=$D14+$F14-1),1,""))</f>
        <v/>
      </c>
      <c r="BU14" s="11" t="str">
        <f>IF(AND($C14="Goal",BU$7&gt;=$D14,BU$7&lt;=$D14+$F14-1),2,IF(AND($C14="Milestone",BU$7&gt;=$D14,BU$7&lt;=$D14+$F14-1),1,""))</f>
        <v/>
      </c>
      <c r="BV14" s="11" t="str">
        <f>IF(AND($C14="Goal",BV$7&gt;=$D14,BV$7&lt;=$D14+$F14-1),2,IF(AND($C14="Milestone",BV$7&gt;=$D14,BV$7&lt;=$D14+$F14-1),1,""))</f>
        <v/>
      </c>
      <c r="BW14" s="11" t="str">
        <f>IF(AND($C14="Goal",BW$7&gt;=$D14,BW$7&lt;=$D14+$F14-1),2,IF(AND($C14="Milestone",BW$7&gt;=$D14,BW$7&lt;=$D14+$F14-1),1,""))</f>
        <v/>
      </c>
      <c r="BX14" s="11" t="str">
        <f>IF(AND($C14="Goal",BX$7&gt;=$D14,BX$7&lt;=$D14+$F14-1),2,IF(AND($C14="Milestone",BX$7&gt;=$D14,BX$7&lt;=$D14+$F14-1),1,""))</f>
        <v/>
      </c>
      <c r="BY14" s="11" t="str">
        <f>IF(AND($C14="Goal",BY$7&gt;=$D14,BY$7&lt;=$D14+$F14-1),2,IF(AND($C14="Milestone",BY$7&gt;=$D14,BY$7&lt;=$D14+$F14-1),1,""))</f>
        <v/>
      </c>
      <c r="BZ14" s="11" t="str">
        <f>IF(AND($C14="Goal",BZ$7&gt;=$D14,BZ$7&lt;=$D14+$F14-1),2,IF(AND($C14="Milestone",BZ$7&gt;=$D14,BZ$7&lt;=$D14+$F14-1),1,""))</f>
        <v/>
      </c>
      <c r="CA14" s="11" t="str">
        <f>IF(AND($C14="Goal",CA$7&gt;=$D14,CA$7&lt;=$D14+$F14-1),2,IF(AND($C14="Milestone",CA$7&gt;=$D14,CA$7&lt;=$D14+$F14-1),1,""))</f>
        <v/>
      </c>
      <c r="CB14" s="11" t="str">
        <f>IF(AND($C14="Goal",CB$7&gt;=$D14,CB$7&lt;=$D14+$F14-1),2,IF(AND($C14="Milestone",CB$7&gt;=$D14,CB$7&lt;=$D14+$F14-1),1,""))</f>
        <v/>
      </c>
      <c r="CC14" s="11" t="str">
        <f>IF(AND($C14="Goal",CC$7&gt;=$D14,CC$7&lt;=$D14+$F14-1),2,IF(AND($C14="Milestone",CC$7&gt;=$D14,CC$7&lt;=$D14+$F14-1),1,""))</f>
        <v/>
      </c>
      <c r="CD14" s="11" t="str">
        <f>IF(AND($C14="Goal",CD$7&gt;=$D14,CD$7&lt;=$D14+$F14-1),2,IF(AND($C14="Milestone",CD$7&gt;=$D14,CD$7&lt;=$D14+$F14-1),1,""))</f>
        <v/>
      </c>
      <c r="CE14" s="11" t="str">
        <f>IF(AND($C14="Goal",CE$7&gt;=$D14,CE$7&lt;=$D14+$F14-1),2,IF(AND($C14="Milestone",CE$7&gt;=$D14,CE$7&lt;=$D14+$F14-1),1,""))</f>
        <v/>
      </c>
      <c r="CF14" s="11" t="str">
        <f>IF(AND($C14="Goal",CF$7&gt;=$D14,CF$7&lt;=$D14+$F14-1),2,IF(AND($C14="Milestone",CF$7&gt;=$D14,CF$7&lt;=$D14+$F14-1),1,""))</f>
        <v/>
      </c>
      <c r="CG14" s="11" t="str">
        <f>IF(AND($C14="Goal",CG$7&gt;=$D14,CG$7&lt;=$D14+$F14-1),2,IF(AND($C14="Milestone",CG$7&gt;=$D14,CG$7&lt;=$D14+$F14-1),1,""))</f>
        <v/>
      </c>
      <c r="CH14" s="11" t="str">
        <f>IF(AND($C14="Goal",CH$7&gt;=$D14,CH$7&lt;=$D14+$F14-1),2,IF(AND($C14="Milestone",CH$7&gt;=$D14,CH$7&lt;=$D14+$F14-1),1,""))</f>
        <v/>
      </c>
      <c r="CI14" s="11" t="str">
        <f>IF(AND($C14="Goal",CI$7&gt;=$D14,CI$7&lt;=$D14+$F14-1),2,IF(AND($C14="Milestone",CI$7&gt;=$D14,CI$7&lt;=$D14+$F14-1),1,""))</f>
        <v/>
      </c>
      <c r="CJ14" s="11" t="str">
        <f>IF(AND($C14="Goal",CJ$7&gt;=$D14,CJ$7&lt;=$D14+$F14-1),2,IF(AND($C14="Milestone",CJ$7&gt;=$D14,CJ$7&lt;=$D14+$F14-1),1,""))</f>
        <v/>
      </c>
      <c r="CK14" s="11" t="str">
        <f>IF(AND($C14="Goal",CK$7&gt;=$D14,CK$7&lt;=$D14+$F14-1),2,IF(AND($C14="Milestone",CK$7&gt;=$D14,CK$7&lt;=$D14+$F14-1),1,""))</f>
        <v/>
      </c>
      <c r="CL14" s="11" t="str">
        <f>IF(AND($C14="Goal",CL$7&gt;=$D14,CL$7&lt;=$D14+$F14-1),2,IF(AND($C14="Milestone",CL$7&gt;=$D14,CL$7&lt;=$D14+$F14-1),1,""))</f>
        <v/>
      </c>
      <c r="CM14" s="11" t="str">
        <f>IF(AND($C14="Goal",CM$7&gt;=$D14,CM$7&lt;=$D14+$F14-1),2,IF(AND($C14="Milestone",CM$7&gt;=$D14,CM$7&lt;=$D14+$F14-1),1,""))</f>
        <v/>
      </c>
      <c r="CN14" s="11" t="str">
        <f>IF(AND($C14="Goal",CN$7&gt;=$D14,CN$7&lt;=$D14+$F14-1),2,IF(AND($C14="Milestone",CN$7&gt;=$D14,CN$7&lt;=$D14+$F14-1),1,""))</f>
        <v/>
      </c>
      <c r="CO14" s="11" t="str">
        <f>IF(AND($C14="Goal",CO$7&gt;=$D14,CO$7&lt;=$D14+$F14-1),2,IF(AND($C14="Milestone",CO$7&gt;=$D14,CO$7&lt;=$D14+$F14-1),1,""))</f>
        <v/>
      </c>
      <c r="CP14" s="11" t="str">
        <f>IF(AND($C14="Goal",CP$7&gt;=$D14,CP$7&lt;=$D14+$F14-1),2,IF(AND($C14="Milestone",CP$7&gt;=$D14,CP$7&lt;=$D14+$F14-1),1,""))</f>
        <v/>
      </c>
      <c r="CQ14" s="11" t="str">
        <f>IF(AND($C14="Goal",CQ$7&gt;=$D14,CQ$7&lt;=$D14+$F14-1),2,IF(AND($C14="Milestone",CQ$7&gt;=$D14,CQ$7&lt;=$D14+$F14-1),1,""))</f>
        <v/>
      </c>
      <c r="CR14" s="11" t="str">
        <f>IF(AND($C14="Goal",CR$7&gt;=$D14,CR$7&lt;=$D14+$F14-1),2,IF(AND($C14="Milestone",CR$7&gt;=$D14,CR$7&lt;=$D14+$F14-1),1,""))</f>
        <v/>
      </c>
      <c r="CS14" s="11" t="str">
        <f>IF(AND($C14="Goal",CS$7&gt;=$D14,CS$7&lt;=$D14+$F14-1),2,IF(AND($C14="Milestone",CS$7&gt;=$D14,CS$7&lt;=$D14+$F14-1),1,""))</f>
        <v/>
      </c>
      <c r="CT14" s="11" t="str">
        <f>IF(AND($C14="Goal",CT$7&gt;=$D14,CT$7&lt;=$D14+$F14-1),2,IF(AND($C14="Milestone",CT$7&gt;=$D14,CT$7&lt;=$D14+$F14-1),1,""))</f>
        <v/>
      </c>
      <c r="CU14" s="11" t="str">
        <f>IF(AND($C14="Goal",CU$7&gt;=$D14,CU$7&lt;=$D14+$F14-1),2,IF(AND($C14="Milestone",CU$7&gt;=$D14,CU$7&lt;=$D14+$F14-1),1,""))</f>
        <v/>
      </c>
      <c r="CV14" s="11" t="str">
        <f>IF(AND($C14="Goal",CV$7&gt;=$D14,CV$7&lt;=$D14+$F14-1),2,IF(AND($C14="Milestone",CV$7&gt;=$D14,CV$7&lt;=$D14+$F14-1),1,""))</f>
        <v/>
      </c>
      <c r="CW14" s="11" t="str">
        <f>IF(AND($C14="Goal",CW$7&gt;=$D14,CW$7&lt;=$D14+$F14-1),2,IF(AND($C14="Milestone",CW$7&gt;=$D14,CW$7&lt;=$D14+$F14-1),1,""))</f>
        <v/>
      </c>
      <c r="CX14" s="11" t="str">
        <f>IF(AND($C14="Goal",CX$7&gt;=$D14,CX$7&lt;=$D14+$F14-1),2,IF(AND($C14="Milestone",CX$7&gt;=$D14,CX$7&lt;=$D14+$F14-1),1,""))</f>
        <v/>
      </c>
      <c r="CY14" s="11" t="str">
        <f>IF(AND($C14="Goal",CY$7&gt;=$D14,CY$7&lt;=$D14+$F14-1),2,IF(AND($C14="Milestone",CY$7&gt;=$D14,CY$7&lt;=$D14+$F14-1),1,""))</f>
        <v/>
      </c>
      <c r="CZ14" s="11" t="str">
        <f>IF(AND($C14="Goal",CZ$7&gt;=$D14,CZ$7&lt;=$D14+$F14-1),2,IF(AND($C14="Milestone",CZ$7&gt;=$D14,CZ$7&lt;=$D14+$F14-1),1,""))</f>
        <v/>
      </c>
      <c r="DA14" s="11" t="str">
        <f>IF(AND($C14="Goal",DA$7&gt;=$D14,DA$7&lt;=$D14+$F14-1),2,IF(AND($C14="Milestone",DA$7&gt;=$D14,DA$7&lt;=$D14+$F14-1),1,""))</f>
        <v/>
      </c>
      <c r="DB14" s="11" t="str">
        <f>IF(AND($C14="Goal",DB$7&gt;=$D14,DB$7&lt;=$D14+$F14-1),2,IF(AND($C14="Milestone",DB$7&gt;=$D14,DB$7&lt;=$D14+$F14-1),1,""))</f>
        <v/>
      </c>
      <c r="DC14" s="11" t="str">
        <f>IF(AND($C14="Goal",DC$7&gt;=$D14,DC$7&lt;=$D14+$F14-1),2,IF(AND($C14="Milestone",DC$7&gt;=$D14,DC$7&lt;=$D14+$F14-1),1,""))</f>
        <v/>
      </c>
      <c r="DD14" s="11" t="str">
        <f>IF(AND($C14="Goal",DD$7&gt;=$D14,DD$7&lt;=$D14+$F14-1),2,IF(AND($C14="Milestone",DD$7&gt;=$D14,DD$7&lt;=$D14+$F14-1),1,""))</f>
        <v/>
      </c>
      <c r="DE14" s="11" t="str">
        <f>IF(AND($C14="Goal",DE$7&gt;=$D14,DE$7&lt;=$D14+$F14-1),2,IF(AND($C14="Milestone",DE$7&gt;=$D14,DE$7&lt;=$D14+$F14-1),1,""))</f>
        <v/>
      </c>
      <c r="DF14" s="11" t="str">
        <f>IF(AND($C14="Goal",DF$7&gt;=$D14,DF$7&lt;=$D14+$F14-1),2,IF(AND($C14="Milestone",DF$7&gt;=$D14,DF$7&lt;=$D14+$F14-1),1,""))</f>
        <v/>
      </c>
    </row>
    <row r="15" spans="1:110" s="1" customFormat="1" ht="40.15" customHeight="1" x14ac:dyDescent="0.35">
      <c r="A15" s="4"/>
      <c r="B15" s="42" t="s">
        <v>9</v>
      </c>
      <c r="C15" s="13" t="s">
        <v>1</v>
      </c>
      <c r="D15" s="14">
        <v>46007</v>
      </c>
      <c r="E15" s="14">
        <f>Milestones4352[[#This Row],[Ínicio]]+Milestones4352[[#This Row],[Nº Dias]]-1</f>
        <v>46007</v>
      </c>
      <c r="F15" s="15">
        <v>1</v>
      </c>
      <c r="G15" s="13"/>
      <c r="H15" s="11" t="str">
        <f>IF(AND($C15="Goal",H$7&gt;=$D15,H$7&lt;=$D15+$F15-1),2,IF(AND($C15="Milestone",H$7&gt;=$D15,H$7&lt;=$D15+$F15-1),1,""))</f>
        <v/>
      </c>
      <c r="I15" s="11" t="str">
        <f>IF(AND($C15="Goal",I$7&gt;=$D15,I$7&lt;=$D15+$F15-1),2,IF(AND($C15="Milestone",I$7&gt;=$D15,I$7&lt;=$D15+$F15-1),1,""))</f>
        <v/>
      </c>
      <c r="J15" s="11" t="str">
        <f>IF(AND($C15="Goal",J$7&gt;=$D15,J$7&lt;=$D15+$F15-1),2,IF(AND($C15="Milestone",J$7&gt;=$D15,J$7&lt;=$D15+$F15-1),1,""))</f>
        <v/>
      </c>
      <c r="K15" s="11" t="str">
        <f>IF(AND($C15="Goal",K$7&gt;=$D15,K$7&lt;=$D15+$F15-1),2,IF(AND($C15="Milestone",K$7&gt;=$D15,K$7&lt;=$D15+$F15-1),1,""))</f>
        <v/>
      </c>
      <c r="L15" s="11" t="str">
        <f>IF(AND($C15="Goal",L$7&gt;=$D15,L$7&lt;=$D15+$F15-1),2,IF(AND($C15="Milestone",L$7&gt;=$D15,L$7&lt;=$D15+$F15-1),1,""))</f>
        <v/>
      </c>
      <c r="M15" s="11" t="str">
        <f>IF(AND($C15="Goal",M$7&gt;=$D15,M$7&lt;=$D15+$F15-1),2,IF(AND($C15="Milestone",M$7&gt;=$D15,M$7&lt;=$D15+$F15-1),1,""))</f>
        <v/>
      </c>
      <c r="N15" s="11" t="str">
        <f>IF(AND($C15="Goal",N$7&gt;=$D15,N$7&lt;=$D15+$F15-1),2,IF(AND($C15="Milestone",N$7&gt;=$D15,N$7&lt;=$D15+$F15-1),1,""))</f>
        <v/>
      </c>
      <c r="O15" s="11" t="str">
        <f>IF(AND($C15="Goal",O$7&gt;=$D15,O$7&lt;=$D15+$F15-1),2,IF(AND($C15="Milestone",O$7&gt;=$D15,O$7&lt;=$D15+$F15-1),1,""))</f>
        <v/>
      </c>
      <c r="P15" s="11" t="str">
        <f>IF(AND($C15="Goal",P$7&gt;=$D15,P$7&lt;=$D15+$F15-1),2,IF(AND($C15="Milestone",P$7&gt;=$D15,P$7&lt;=$D15+$F15-1),1,""))</f>
        <v/>
      </c>
      <c r="Q15" s="11" t="str">
        <f>IF(AND($C15="Goal",Q$7&gt;=$D15,Q$7&lt;=$D15+$F15-1),2,IF(AND($C15="Milestone",Q$7&gt;=$D15,Q$7&lt;=$D15+$F15-1),1,""))</f>
        <v/>
      </c>
      <c r="R15" s="11" t="str">
        <f>IF(AND($C15="Goal",R$7&gt;=$D15,R$7&lt;=$D15+$F15-1),2,IF(AND($C15="Milestone",R$7&gt;=$D15,R$7&lt;=$D15+$F15-1),1,""))</f>
        <v/>
      </c>
      <c r="S15" s="11" t="str">
        <f>IF(AND($C15="Goal",S$7&gt;=$D15,S$7&lt;=$D15+$F15-1),2,IF(AND($C15="Milestone",S$7&gt;=$D15,S$7&lt;=$D15+$F15-1),1,""))</f>
        <v/>
      </c>
      <c r="T15" s="11" t="str">
        <f>IF(AND($C15="Goal",T$7&gt;=$D15,T$7&lt;=$D15+$F15-1),2,IF(AND($C15="Milestone",T$7&gt;=$D15,T$7&lt;=$D15+$F15-1),1,""))</f>
        <v/>
      </c>
      <c r="U15" s="11" t="str">
        <f>IF(AND($C15="Goal",U$7&gt;=$D15,U$7&lt;=$D15+$F15-1),2,IF(AND($C15="Milestone",U$7&gt;=$D15,U$7&lt;=$D15+$F15-1),1,""))</f>
        <v/>
      </c>
      <c r="V15" s="11" t="str">
        <f>IF(AND($C15="Goal",V$7&gt;=$D15,V$7&lt;=$D15+$F15-1),2,IF(AND($C15="Milestone",V$7&gt;=$D15,V$7&lt;=$D15+$F15-1),1,""))</f>
        <v/>
      </c>
      <c r="W15" s="11" t="str">
        <f>IF(AND($C15="Goal",W$7&gt;=$D15,W$7&lt;=$D15+$F15-1),2,IF(AND($C15="Milestone",W$7&gt;=$D15,W$7&lt;=$D15+$F15-1),1,""))</f>
        <v/>
      </c>
      <c r="X15" s="11" t="str">
        <f>IF(AND($C15="Goal",X$7&gt;=$D15,X$7&lt;=$D15+$F15-1),2,IF(AND($C15="Milestone",X$7&gt;=$D15,X$7&lt;=$D15+$F15-1),1,""))</f>
        <v/>
      </c>
      <c r="Y15" s="11" t="str">
        <f>IF(AND($C15="Goal",Y$7&gt;=$D15,Y$7&lt;=$D15+$F15-1),2,IF(AND($C15="Milestone",Y$7&gt;=$D15,Y$7&lt;=$D15+$F15-1),1,""))</f>
        <v/>
      </c>
      <c r="Z15" s="11" t="str">
        <f>IF(AND($C15="Goal",Z$7&gt;=$D15,Z$7&lt;=$D15+$F15-1),2,IF(AND($C15="Milestone",Z$7&gt;=$D15,Z$7&lt;=$D15+$F15-1),1,""))</f>
        <v/>
      </c>
      <c r="AA15" s="11" t="str">
        <f>IF(AND($C15="Goal",AA$7&gt;=$D15,AA$7&lt;=$D15+$F15-1),2,IF(AND($C15="Milestone",AA$7&gt;=$D15,AA$7&lt;=$D15+$F15-1),1,""))</f>
        <v/>
      </c>
      <c r="AB15" s="11" t="str">
        <f>IF(AND($C15="Goal",AB$7&gt;=$D15,AB$7&lt;=$D15+$F15-1),2,IF(AND($C15="Milestone",AB$7&gt;=$D15,AB$7&lt;=$D15+$F15-1),1,""))</f>
        <v/>
      </c>
      <c r="AC15" s="11" t="str">
        <f>IF(AND($C15="Goal",AC$7&gt;=$D15,AC$7&lt;=$D15+$F15-1),2,IF(AND($C15="Milestone",AC$7&gt;=$D15,AC$7&lt;=$D15+$F15-1),1,""))</f>
        <v/>
      </c>
      <c r="AD15" s="11" t="str">
        <f>IF(AND($C15="Goal",AD$7&gt;=$D15,AD$7&lt;=$D15+$F15-1),2,IF(AND($C15="Milestone",AD$7&gt;=$D15,AD$7&lt;=$D15+$F15-1),1,""))</f>
        <v/>
      </c>
      <c r="AE15" s="11" t="str">
        <f>IF(AND($C15="Goal",AE$7&gt;=$D15,AE$7&lt;=$D15+$F15-1),2,IF(AND($C15="Milestone",AE$7&gt;=$D15,AE$7&lt;=$D15+$F15-1),1,""))</f>
        <v/>
      </c>
      <c r="AF15" s="11" t="str">
        <f>IF(AND($C15="Goal",AF$7&gt;=$D15,AF$7&lt;=$D15+$F15-1),2,IF(AND($C15="Milestone",AF$7&gt;=$D15,AF$7&lt;=$D15+$F15-1),1,""))</f>
        <v/>
      </c>
      <c r="AG15" s="11" t="str">
        <f>IF(AND($C15="Goal",AG$7&gt;=$D15,AG$7&lt;=$D15+$F15-1),2,IF(AND($C15="Milestone",AG$7&gt;=$D15,AG$7&lt;=$D15+$F15-1),1,""))</f>
        <v/>
      </c>
      <c r="AH15" s="11" t="str">
        <f>IF(AND($C15="Goal",AH$7&gt;=$D15,AH$7&lt;=$D15+$F15-1),2,IF(AND($C15="Milestone",AH$7&gt;=$D15,AH$7&lt;=$D15+$F15-1),1,""))</f>
        <v/>
      </c>
      <c r="AI15" s="11" t="str">
        <f>IF(AND($C15="Goal",AI$7&gt;=$D15,AI$7&lt;=$D15+$F15-1),2,IF(AND($C15="Milestone",AI$7&gt;=$D15,AI$7&lt;=$D15+$F15-1),1,""))</f>
        <v/>
      </c>
      <c r="AJ15" s="11" t="str">
        <f>IF(AND($C15="Goal",AJ$7&gt;=$D15,AJ$7&lt;=$D15+$F15-1),2,IF(AND($C15="Milestone",AJ$7&gt;=$D15,AJ$7&lt;=$D15+$F15-1),1,""))</f>
        <v/>
      </c>
      <c r="AK15" s="11" t="str">
        <f>IF(AND($C15="Goal",AK$7&gt;=$D15,AK$7&lt;=$D15+$F15-1),2,IF(AND($C15="Milestone",AK$7&gt;=$D15,AK$7&lt;=$D15+$F15-1),1,""))</f>
        <v/>
      </c>
      <c r="AL15" s="11" t="str">
        <f>IF(AND($C15="Goal",AL$7&gt;=$D15,AL$7&lt;=$D15+$F15-1),2,IF(AND($C15="Milestone",AL$7&gt;=$D15,AL$7&lt;=$D15+$F15-1),1,""))</f>
        <v/>
      </c>
      <c r="AM15" s="11" t="str">
        <f>IF(AND($C15="Goal",AM$7&gt;=$D15,AM$7&lt;=$D15+$F15-1),2,IF(AND($C15="Milestone",AM$7&gt;=$D15,AM$7&lt;=$D15+$F15-1),1,""))</f>
        <v/>
      </c>
      <c r="AN15" s="11" t="str">
        <f>IF(AND($C15="Goal",AN$7&gt;=$D15,AN$7&lt;=$D15+$F15-1),2,IF(AND($C15="Milestone",AN$7&gt;=$D15,AN$7&lt;=$D15+$F15-1),1,""))</f>
        <v/>
      </c>
      <c r="AO15" s="11" t="str">
        <f>IF(AND($C15="Goal",AO$7&gt;=$D15,AO$7&lt;=$D15+$F15-1),2,IF(AND($C15="Milestone",AO$7&gt;=$D15,AO$7&lt;=$D15+$F15-1),1,""))</f>
        <v/>
      </c>
      <c r="AP15" s="11" t="str">
        <f>IF(AND($C15="Goal",AP$7&gt;=$D15,AP$7&lt;=$D15+$F15-1),2,IF(AND($C15="Milestone",AP$7&gt;=$D15,AP$7&lt;=$D15+$F15-1),1,""))</f>
        <v/>
      </c>
      <c r="AQ15" s="11" t="str">
        <f>IF(AND($C15="Goal",AQ$7&gt;=$D15,AQ$7&lt;=$D15+$F15-1),2,IF(AND($C15="Milestone",AQ$7&gt;=$D15,AQ$7&lt;=$D15+$F15-1),1,""))</f>
        <v/>
      </c>
      <c r="AR15" s="11" t="str">
        <f>IF(AND($C15="Goal",AR$7&gt;=$D15,AR$7&lt;=$D15+$F15-1),2,IF(AND($C15="Milestone",AR$7&gt;=$D15,AR$7&lt;=$D15+$F15-1),1,""))</f>
        <v/>
      </c>
      <c r="AS15" s="11" t="str">
        <f>IF(AND($C15="Goal",AS$7&gt;=$D15,AS$7&lt;=$D15+$F15-1),2,IF(AND($C15="Milestone",AS$7&gt;=$D15,AS$7&lt;=$D15+$F15-1),1,""))</f>
        <v/>
      </c>
      <c r="AT15" s="11" t="str">
        <f>IF(AND($C15="Goal",AT$7&gt;=$D15,AT$7&lt;=$D15+$F15-1),2,IF(AND($C15="Milestone",AT$7&gt;=$D15,AT$7&lt;=$D15+$F15-1),1,""))</f>
        <v/>
      </c>
      <c r="AU15" s="11" t="str">
        <f>IF(AND($C15="Goal",AU$7&gt;=$D15,AU$7&lt;=$D15+$F15-1),2,IF(AND($C15="Milestone",AU$7&gt;=$D15,AU$7&lt;=$D15+$F15-1),1,""))</f>
        <v/>
      </c>
      <c r="AV15" s="11" t="str">
        <f>IF(AND($C15="Goal",AV$7&gt;=$D15,AV$7&lt;=$D15+$F15-1),2,IF(AND($C15="Milestone",AV$7&gt;=$D15,AV$7&lt;=$D15+$F15-1),1,""))</f>
        <v/>
      </c>
      <c r="AW15" s="11" t="str">
        <f>IF(AND($C15="Goal",AW$7&gt;=$D15,AW$7&lt;=$D15+$F15-1),2,IF(AND($C15="Milestone",AW$7&gt;=$D15,AW$7&lt;=$D15+$F15-1),1,""))</f>
        <v/>
      </c>
      <c r="AX15" s="11" t="str">
        <f>IF(AND($C15="Goal",AX$7&gt;=$D15,AX$7&lt;=$D15+$F15-1),2,IF(AND($C15="Milestone",AX$7&gt;=$D15,AX$7&lt;=$D15+$F15-1),1,""))</f>
        <v/>
      </c>
      <c r="AY15" s="11" t="str">
        <f>IF(AND($C15="Goal",AY$7&gt;=$D15,AY$7&lt;=$D15+$F15-1),2,IF(AND($C15="Milestone",AY$7&gt;=$D15,AY$7&lt;=$D15+$F15-1),1,""))</f>
        <v/>
      </c>
      <c r="AZ15" s="11" t="str">
        <f>IF(AND($C15="Goal",AZ$7&gt;=$D15,AZ$7&lt;=$D15+$F15-1),2,IF(AND($C15="Milestone",AZ$7&gt;=$D15,AZ$7&lt;=$D15+$F15-1),1,""))</f>
        <v/>
      </c>
      <c r="BA15" s="11" t="str">
        <f>IF(AND($C15="Goal",BA$7&gt;=$D15,BA$7&lt;=$D15+$F15-1),2,IF(AND($C15="Milestone",BA$7&gt;=$D15,BA$7&lt;=$D15+$F15-1),1,""))</f>
        <v/>
      </c>
      <c r="BB15" s="11" t="str">
        <f>IF(AND($C15="Goal",BB$7&gt;=$D15,BB$7&lt;=$D15+$F15-1),2,IF(AND($C15="Milestone",BB$7&gt;=$D15,BB$7&lt;=$D15+$F15-1),1,""))</f>
        <v/>
      </c>
      <c r="BC15" s="11" t="str">
        <f>IF(AND($C15="Goal",BC$7&gt;=$D15,BC$7&lt;=$D15+$F15-1),2,IF(AND($C15="Milestone",BC$7&gt;=$D15,BC$7&lt;=$D15+$F15-1),1,""))</f>
        <v/>
      </c>
      <c r="BD15" s="11" t="str">
        <f>IF(AND($C15="Goal",BD$7&gt;=$D15,BD$7&lt;=$D15+$F15-1),2,IF(AND($C15="Milestone",BD$7&gt;=$D15,BD$7&lt;=$D15+$F15-1),1,""))</f>
        <v/>
      </c>
      <c r="BE15" s="11">
        <f>IF(AND($C15="Goal",BE$7&gt;=$D15,BE$7&lt;=$D15+$F15-1),2,IF(AND($C15="Milestone",BE$7&gt;=$D15,BE$7&lt;=$D15+$F15-1),1,""))</f>
        <v>1</v>
      </c>
      <c r="BF15" s="11" t="str">
        <f>IF(AND($C15="Goal",BF$7&gt;=$D15,BF$7&lt;=$D15+$F15-1),2,IF(AND($C15="Milestone",BF$7&gt;=$D15,BF$7&lt;=$D15+$F15-1),1,""))</f>
        <v/>
      </c>
      <c r="BG15" s="11" t="str">
        <f>IF(AND($C15="Goal",BG$7&gt;=$D15,BG$7&lt;=$D15+$F15-1),2,IF(AND($C15="Milestone",BG$7&gt;=$D15,BG$7&lt;=$D15+$F15-1),1,""))</f>
        <v/>
      </c>
      <c r="BH15" s="11" t="str">
        <f>IF(AND($C15="Goal",BH$7&gt;=$D15,BH$7&lt;=$D15+$F15-1),2,IF(AND($C15="Milestone",BH$7&gt;=$D15,BH$7&lt;=$D15+$F15-1),1,""))</f>
        <v/>
      </c>
      <c r="BI15" s="11" t="str">
        <f>IF(AND($C15="Goal",BI$7&gt;=$D15,BI$7&lt;=$D15+$F15-1),2,IF(AND($C15="Milestone",BI$7&gt;=$D15,BI$7&lt;=$D15+$F15-1),1,""))</f>
        <v/>
      </c>
      <c r="BJ15" s="11" t="str">
        <f>IF(AND($C15="Goal",BJ$7&gt;=$D15,BJ$7&lt;=$D15+$F15-1),2,IF(AND($C15="Milestone",BJ$7&gt;=$D15,BJ$7&lt;=$D15+$F15-1),1,""))</f>
        <v/>
      </c>
      <c r="BK15" s="11" t="str">
        <f>IF(AND($C15="Goal",BK$7&gt;=$D15,BK$7&lt;=$D15+$F15-1),2,IF(AND($C15="Milestone",BK$7&gt;=$D15,BK$7&lt;=$D15+$F15-1),1,""))</f>
        <v/>
      </c>
      <c r="BL15" s="11" t="str">
        <f>IF(AND($C15="Goal",BL$7&gt;=$D15,BL$7&lt;=$D15+$F15-1),2,IF(AND($C15="Milestone",BL$7&gt;=$D15,BL$7&lt;=$D15+$F15-1),1,""))</f>
        <v/>
      </c>
      <c r="BM15" s="11" t="str">
        <f>IF(AND($C15="Goal",BM$7&gt;=$D15,BM$7&lt;=$D15+$F15-1),2,IF(AND($C15="Milestone",BM$7&gt;=$D15,BM$7&lt;=$D15+$F15-1),1,""))</f>
        <v/>
      </c>
      <c r="BN15" s="11" t="str">
        <f>IF(AND($C15="Goal",BN$7&gt;=$D15,BN$7&lt;=$D15+$F15-1),2,IF(AND($C15="Milestone",BN$7&gt;=$D15,BN$7&lt;=$D15+$F15-1),1,""))</f>
        <v/>
      </c>
      <c r="BO15" s="11" t="str">
        <f>IF(AND($C15="Goal",BO$7&gt;=$D15,BO$7&lt;=$D15+$F15-1),2,IF(AND($C15="Milestone",BO$7&gt;=$D15,BO$7&lt;=$D15+$F15-1),1,""))</f>
        <v/>
      </c>
      <c r="BP15" s="11" t="str">
        <f>IF(AND($C15="Goal",BP$7&gt;=$D15,BP$7&lt;=$D15+$F15-1),2,IF(AND($C15="Milestone",BP$7&gt;=$D15,BP$7&lt;=$D15+$F15-1),1,""))</f>
        <v/>
      </c>
      <c r="BQ15" s="11" t="str">
        <f>IF(AND($C15="Goal",BQ$7&gt;=$D15,BQ$7&lt;=$D15+$F15-1),2,IF(AND($C15="Milestone",BQ$7&gt;=$D15,BQ$7&lt;=$D15+$F15-1),1,""))</f>
        <v/>
      </c>
      <c r="BR15" s="11" t="str">
        <f>IF(AND($C15="Goal",BR$7&gt;=$D15,BR$7&lt;=$D15+$F15-1),2,IF(AND($C15="Milestone",BR$7&gt;=$D15,BR$7&lt;=$D15+$F15-1),1,""))</f>
        <v/>
      </c>
      <c r="BS15" s="11" t="str">
        <f>IF(AND($C15="Goal",BS$7&gt;=$D15,BS$7&lt;=$D15+$F15-1),2,IF(AND($C15="Milestone",BS$7&gt;=$D15,BS$7&lt;=$D15+$F15-1),1,""))</f>
        <v/>
      </c>
      <c r="BT15" s="11" t="str">
        <f>IF(AND($C15="Goal",BT$7&gt;=$D15,BT$7&lt;=$D15+$F15-1),2,IF(AND($C15="Milestone",BT$7&gt;=$D15,BT$7&lt;=$D15+$F15-1),1,""))</f>
        <v/>
      </c>
      <c r="BU15" s="11" t="str">
        <f>IF(AND($C15="Goal",BU$7&gt;=$D15,BU$7&lt;=$D15+$F15-1),2,IF(AND($C15="Milestone",BU$7&gt;=$D15,BU$7&lt;=$D15+$F15-1),1,""))</f>
        <v/>
      </c>
      <c r="BV15" s="11" t="str">
        <f>IF(AND($C15="Goal",BV$7&gt;=$D15,BV$7&lt;=$D15+$F15-1),2,IF(AND($C15="Milestone",BV$7&gt;=$D15,BV$7&lt;=$D15+$F15-1),1,""))</f>
        <v/>
      </c>
      <c r="BW15" s="11" t="str">
        <f>IF(AND($C15="Goal",BW$7&gt;=$D15,BW$7&lt;=$D15+$F15-1),2,IF(AND($C15="Milestone",BW$7&gt;=$D15,BW$7&lt;=$D15+$F15-1),1,""))</f>
        <v/>
      </c>
      <c r="BX15" s="11" t="str">
        <f>IF(AND($C15="Goal",BX$7&gt;=$D15,BX$7&lt;=$D15+$F15-1),2,IF(AND($C15="Milestone",BX$7&gt;=$D15,BX$7&lt;=$D15+$F15-1),1,""))</f>
        <v/>
      </c>
      <c r="BY15" s="11" t="str">
        <f>IF(AND($C15="Goal",BY$7&gt;=$D15,BY$7&lt;=$D15+$F15-1),2,IF(AND($C15="Milestone",BY$7&gt;=$D15,BY$7&lt;=$D15+$F15-1),1,""))</f>
        <v/>
      </c>
      <c r="BZ15" s="11" t="str">
        <f>IF(AND($C15="Goal",BZ$7&gt;=$D15,BZ$7&lt;=$D15+$F15-1),2,IF(AND($C15="Milestone",BZ$7&gt;=$D15,BZ$7&lt;=$D15+$F15-1),1,""))</f>
        <v/>
      </c>
      <c r="CA15" s="11" t="str">
        <f>IF(AND($C15="Goal",CA$7&gt;=$D15,CA$7&lt;=$D15+$F15-1),2,IF(AND($C15="Milestone",CA$7&gt;=$D15,CA$7&lt;=$D15+$F15-1),1,""))</f>
        <v/>
      </c>
      <c r="CB15" s="11" t="str">
        <f>IF(AND($C15="Goal",CB$7&gt;=$D15,CB$7&lt;=$D15+$F15-1),2,IF(AND($C15="Milestone",CB$7&gt;=$D15,CB$7&lt;=$D15+$F15-1),1,""))</f>
        <v/>
      </c>
      <c r="CC15" s="11" t="str">
        <f>IF(AND($C15="Goal",CC$7&gt;=$D15,CC$7&lt;=$D15+$F15-1),2,IF(AND($C15="Milestone",CC$7&gt;=$D15,CC$7&lt;=$D15+$F15-1),1,""))</f>
        <v/>
      </c>
      <c r="CD15" s="11" t="str">
        <f>IF(AND($C15="Goal",CD$7&gt;=$D15,CD$7&lt;=$D15+$F15-1),2,IF(AND($C15="Milestone",CD$7&gt;=$D15,CD$7&lt;=$D15+$F15-1),1,""))</f>
        <v/>
      </c>
      <c r="CE15" s="11" t="str">
        <f>IF(AND($C15="Goal",CE$7&gt;=$D15,CE$7&lt;=$D15+$F15-1),2,IF(AND($C15="Milestone",CE$7&gt;=$D15,CE$7&lt;=$D15+$F15-1),1,""))</f>
        <v/>
      </c>
      <c r="CF15" s="11" t="str">
        <f>IF(AND($C15="Goal",CF$7&gt;=$D15,CF$7&lt;=$D15+$F15-1),2,IF(AND($C15="Milestone",CF$7&gt;=$D15,CF$7&lt;=$D15+$F15-1),1,""))</f>
        <v/>
      </c>
      <c r="CG15" s="11" t="str">
        <f>IF(AND($C15="Goal",CG$7&gt;=$D15,CG$7&lt;=$D15+$F15-1),2,IF(AND($C15="Milestone",CG$7&gt;=$D15,CG$7&lt;=$D15+$F15-1),1,""))</f>
        <v/>
      </c>
      <c r="CH15" s="11" t="str">
        <f>IF(AND($C15="Goal",CH$7&gt;=$D15,CH$7&lt;=$D15+$F15-1),2,IF(AND($C15="Milestone",CH$7&gt;=$D15,CH$7&lt;=$D15+$F15-1),1,""))</f>
        <v/>
      </c>
      <c r="CI15" s="11" t="str">
        <f>IF(AND($C15="Goal",CI$7&gt;=$D15,CI$7&lt;=$D15+$F15-1),2,IF(AND($C15="Milestone",CI$7&gt;=$D15,CI$7&lt;=$D15+$F15-1),1,""))</f>
        <v/>
      </c>
      <c r="CJ15" s="11" t="str">
        <f>IF(AND($C15="Goal",CJ$7&gt;=$D15,CJ$7&lt;=$D15+$F15-1),2,IF(AND($C15="Milestone",CJ$7&gt;=$D15,CJ$7&lt;=$D15+$F15-1),1,""))</f>
        <v/>
      </c>
      <c r="CK15" s="11" t="str">
        <f>IF(AND($C15="Goal",CK$7&gt;=$D15,CK$7&lt;=$D15+$F15-1),2,IF(AND($C15="Milestone",CK$7&gt;=$D15,CK$7&lt;=$D15+$F15-1),1,""))</f>
        <v/>
      </c>
      <c r="CL15" s="11" t="str">
        <f>IF(AND($C15="Goal",CL$7&gt;=$D15,CL$7&lt;=$D15+$F15-1),2,IF(AND($C15="Milestone",CL$7&gt;=$D15,CL$7&lt;=$D15+$F15-1),1,""))</f>
        <v/>
      </c>
      <c r="CM15" s="11" t="str">
        <f>IF(AND($C15="Goal",CM$7&gt;=$D15,CM$7&lt;=$D15+$F15-1),2,IF(AND($C15="Milestone",CM$7&gt;=$D15,CM$7&lt;=$D15+$F15-1),1,""))</f>
        <v/>
      </c>
      <c r="CN15" s="11" t="str">
        <f>IF(AND($C15="Goal",CN$7&gt;=$D15,CN$7&lt;=$D15+$F15-1),2,IF(AND($C15="Milestone",CN$7&gt;=$D15,CN$7&lt;=$D15+$F15-1),1,""))</f>
        <v/>
      </c>
      <c r="CO15" s="11" t="str">
        <f>IF(AND($C15="Goal",CO$7&gt;=$D15,CO$7&lt;=$D15+$F15-1),2,IF(AND($C15="Milestone",CO$7&gt;=$D15,CO$7&lt;=$D15+$F15-1),1,""))</f>
        <v/>
      </c>
      <c r="CP15" s="11" t="str">
        <f>IF(AND($C15="Goal",CP$7&gt;=$D15,CP$7&lt;=$D15+$F15-1),2,IF(AND($C15="Milestone",CP$7&gt;=$D15,CP$7&lt;=$D15+$F15-1),1,""))</f>
        <v/>
      </c>
      <c r="CQ15" s="11" t="str">
        <f>IF(AND($C15="Goal",CQ$7&gt;=$D15,CQ$7&lt;=$D15+$F15-1),2,IF(AND($C15="Milestone",CQ$7&gt;=$D15,CQ$7&lt;=$D15+$F15-1),1,""))</f>
        <v/>
      </c>
      <c r="CR15" s="11" t="str">
        <f>IF(AND($C15="Goal",CR$7&gt;=$D15,CR$7&lt;=$D15+$F15-1),2,IF(AND($C15="Milestone",CR$7&gt;=$D15,CR$7&lt;=$D15+$F15-1),1,""))</f>
        <v/>
      </c>
      <c r="CS15" s="11" t="str">
        <f>IF(AND($C15="Goal",CS$7&gt;=$D15,CS$7&lt;=$D15+$F15-1),2,IF(AND($C15="Milestone",CS$7&gt;=$D15,CS$7&lt;=$D15+$F15-1),1,""))</f>
        <v/>
      </c>
      <c r="CT15" s="11" t="str">
        <f>IF(AND($C15="Goal",CT$7&gt;=$D15,CT$7&lt;=$D15+$F15-1),2,IF(AND($C15="Milestone",CT$7&gt;=$D15,CT$7&lt;=$D15+$F15-1),1,""))</f>
        <v/>
      </c>
      <c r="CU15" s="11" t="str">
        <f>IF(AND($C15="Goal",CU$7&gt;=$D15,CU$7&lt;=$D15+$F15-1),2,IF(AND($C15="Milestone",CU$7&gt;=$D15,CU$7&lt;=$D15+$F15-1),1,""))</f>
        <v/>
      </c>
      <c r="CV15" s="11" t="str">
        <f>IF(AND($C15="Goal",CV$7&gt;=$D15,CV$7&lt;=$D15+$F15-1),2,IF(AND($C15="Milestone",CV$7&gt;=$D15,CV$7&lt;=$D15+$F15-1),1,""))</f>
        <v/>
      </c>
      <c r="CW15" s="11" t="str">
        <f>IF(AND($C15="Goal",CW$7&gt;=$D15,CW$7&lt;=$D15+$F15-1),2,IF(AND($C15="Milestone",CW$7&gt;=$D15,CW$7&lt;=$D15+$F15-1),1,""))</f>
        <v/>
      </c>
      <c r="CX15" s="11" t="str">
        <f>IF(AND($C15="Goal",CX$7&gt;=$D15,CX$7&lt;=$D15+$F15-1),2,IF(AND($C15="Milestone",CX$7&gt;=$D15,CX$7&lt;=$D15+$F15-1),1,""))</f>
        <v/>
      </c>
      <c r="CY15" s="11" t="str">
        <f>IF(AND($C15="Goal",CY$7&gt;=$D15,CY$7&lt;=$D15+$F15-1),2,IF(AND($C15="Milestone",CY$7&gt;=$D15,CY$7&lt;=$D15+$F15-1),1,""))</f>
        <v/>
      </c>
      <c r="CZ15" s="11" t="str">
        <f>IF(AND($C15="Goal",CZ$7&gt;=$D15,CZ$7&lt;=$D15+$F15-1),2,IF(AND($C15="Milestone",CZ$7&gt;=$D15,CZ$7&lt;=$D15+$F15-1),1,""))</f>
        <v/>
      </c>
      <c r="DA15" s="11" t="str">
        <f>IF(AND($C15="Goal",DA$7&gt;=$D15,DA$7&lt;=$D15+$F15-1),2,IF(AND($C15="Milestone",DA$7&gt;=$D15,DA$7&lt;=$D15+$F15-1),1,""))</f>
        <v/>
      </c>
      <c r="DB15" s="11" t="str">
        <f>IF(AND($C15="Goal",DB$7&gt;=$D15,DB$7&lt;=$D15+$F15-1),2,IF(AND($C15="Milestone",DB$7&gt;=$D15,DB$7&lt;=$D15+$F15-1),1,""))</f>
        <v/>
      </c>
      <c r="DC15" s="11" t="str">
        <f>IF(AND($C15="Goal",DC$7&gt;=$D15,DC$7&lt;=$D15+$F15-1),2,IF(AND($C15="Milestone",DC$7&gt;=$D15,DC$7&lt;=$D15+$F15-1),1,""))</f>
        <v/>
      </c>
      <c r="DD15" s="11" t="str">
        <f>IF(AND($C15="Goal",DD$7&gt;=$D15,DD$7&lt;=$D15+$F15-1),2,IF(AND($C15="Milestone",DD$7&gt;=$D15,DD$7&lt;=$D15+$F15-1),1,""))</f>
        <v/>
      </c>
      <c r="DE15" s="11" t="str">
        <f>IF(AND($C15="Goal",DE$7&gt;=$D15,DE$7&lt;=$D15+$F15-1),2,IF(AND($C15="Milestone",DE$7&gt;=$D15,DE$7&lt;=$D15+$F15-1),1,""))</f>
        <v/>
      </c>
      <c r="DF15" s="11" t="str">
        <f>IF(AND($C15="Goal",DF$7&gt;=$D15,DF$7&lt;=$D15+$F15-1),2,IF(AND($C15="Milestone",DF$7&gt;=$D15,DF$7&lt;=$D15+$F15-1),1,""))</f>
        <v/>
      </c>
    </row>
    <row r="16" spans="1:110" s="1" customFormat="1" ht="40.15" customHeight="1" x14ac:dyDescent="0.35">
      <c r="A16" s="4"/>
      <c r="B16" s="43" t="s">
        <v>10</v>
      </c>
      <c r="C16" s="13" t="s">
        <v>2</v>
      </c>
      <c r="D16" s="14">
        <f>D12+17</f>
        <v>45982</v>
      </c>
      <c r="E16" s="14">
        <f>Milestones4352[[#This Row],[Ínicio]]+Milestones4352[[#This Row],[Nº Dias]]-1</f>
        <v>45998</v>
      </c>
      <c r="F16" s="15">
        <v>17</v>
      </c>
      <c r="G16" s="13"/>
      <c r="H16" s="11" t="str">
        <f>IF(AND($C16="Goal",H$7&gt;=$D16,H$7&lt;=$D16+$F16-1),2,IF(AND($C16="Milestone",H$7&gt;=$D16,H$7&lt;=$D16+$F16-1),1,""))</f>
        <v/>
      </c>
      <c r="I16" s="11" t="str">
        <f>IF(AND($C16="Goal",I$7&gt;=$D16,I$7&lt;=$D16+$F16-1),2,IF(AND($C16="Milestone",I$7&gt;=$D16,I$7&lt;=$D16+$F16-1),1,""))</f>
        <v/>
      </c>
      <c r="J16" s="11" t="str">
        <f>IF(AND($C16="Goal",J$7&gt;=$D16,J$7&lt;=$D16+$F16-1),2,IF(AND($C16="Milestone",J$7&gt;=$D16,J$7&lt;=$D16+$F16-1),1,""))</f>
        <v/>
      </c>
      <c r="K16" s="11" t="str">
        <f>IF(AND($C16="Goal",K$7&gt;=$D16,K$7&lt;=$D16+$F16-1),2,IF(AND($C16="Milestone",K$7&gt;=$D16,K$7&lt;=$D16+$F16-1),1,""))</f>
        <v/>
      </c>
      <c r="L16" s="11" t="str">
        <f>IF(AND($C16="Goal",L$7&gt;=$D16,L$7&lt;=$D16+$F16-1),2,IF(AND($C16="Milestone",L$7&gt;=$D16,L$7&lt;=$D16+$F16-1),1,""))</f>
        <v/>
      </c>
      <c r="M16" s="11" t="str">
        <f>IF(AND($C16="Goal",M$7&gt;=$D16,M$7&lt;=$D16+$F16-1),2,IF(AND($C16="Milestone",M$7&gt;=$D16,M$7&lt;=$D16+$F16-1),1,""))</f>
        <v/>
      </c>
      <c r="N16" s="11" t="str">
        <f>IF(AND($C16="Goal",N$7&gt;=$D16,N$7&lt;=$D16+$F16-1),2,IF(AND($C16="Milestone",N$7&gt;=$D16,N$7&lt;=$D16+$F16-1),1,""))</f>
        <v/>
      </c>
      <c r="O16" s="11" t="str">
        <f>IF(AND($C16="Goal",O$7&gt;=$D16,O$7&lt;=$D16+$F16-1),2,IF(AND($C16="Milestone",O$7&gt;=$D16,O$7&lt;=$D16+$F16-1),1,""))</f>
        <v/>
      </c>
      <c r="P16" s="11" t="str">
        <f>IF(AND($C16="Goal",P$7&gt;=$D16,P$7&lt;=$D16+$F16-1),2,IF(AND($C16="Milestone",P$7&gt;=$D16,P$7&lt;=$D16+$F16-1),1,""))</f>
        <v/>
      </c>
      <c r="Q16" s="11" t="str">
        <f>IF(AND($C16="Goal",Q$7&gt;=$D16,Q$7&lt;=$D16+$F16-1),2,IF(AND($C16="Milestone",Q$7&gt;=$D16,Q$7&lt;=$D16+$F16-1),1,""))</f>
        <v/>
      </c>
      <c r="R16" s="11" t="str">
        <f>IF(AND($C16="Goal",R$7&gt;=$D16,R$7&lt;=$D16+$F16-1),2,IF(AND($C16="Milestone",R$7&gt;=$D16,R$7&lt;=$D16+$F16-1),1,""))</f>
        <v/>
      </c>
      <c r="S16" s="11" t="str">
        <f>IF(AND($C16="Goal",S$7&gt;=$D16,S$7&lt;=$D16+$F16-1),2,IF(AND($C16="Milestone",S$7&gt;=$D16,S$7&lt;=$D16+$F16-1),1,""))</f>
        <v/>
      </c>
      <c r="T16" s="11" t="str">
        <f>IF(AND($C16="Goal",T$7&gt;=$D16,T$7&lt;=$D16+$F16-1),2,IF(AND($C16="Milestone",T$7&gt;=$D16,T$7&lt;=$D16+$F16-1),1,""))</f>
        <v/>
      </c>
      <c r="U16" s="11" t="str">
        <f>IF(AND($C16="Goal",U$7&gt;=$D16,U$7&lt;=$D16+$F16-1),2,IF(AND($C16="Milestone",U$7&gt;=$D16,U$7&lt;=$D16+$F16-1),1,""))</f>
        <v/>
      </c>
      <c r="V16" s="11" t="str">
        <f>IF(AND($C16="Goal",V$7&gt;=$D16,V$7&lt;=$D16+$F16-1),2,IF(AND($C16="Milestone",V$7&gt;=$D16,V$7&lt;=$D16+$F16-1),1,""))</f>
        <v/>
      </c>
      <c r="W16" s="11" t="str">
        <f>IF(AND($C16="Goal",W$7&gt;=$D16,W$7&lt;=$D16+$F16-1),2,IF(AND($C16="Milestone",W$7&gt;=$D16,W$7&lt;=$D16+$F16-1),1,""))</f>
        <v/>
      </c>
      <c r="X16" s="11" t="str">
        <f>IF(AND($C16="Goal",X$7&gt;=$D16,X$7&lt;=$D16+$F16-1),2,IF(AND($C16="Milestone",X$7&gt;=$D16,X$7&lt;=$D16+$F16-1),1,""))</f>
        <v/>
      </c>
      <c r="Y16" s="11" t="str">
        <f>IF(AND($C16="Goal",Y$7&gt;=$D16,Y$7&lt;=$D16+$F16-1),2,IF(AND($C16="Milestone",Y$7&gt;=$D16,Y$7&lt;=$D16+$F16-1),1,""))</f>
        <v/>
      </c>
      <c r="Z16" s="11" t="str">
        <f>IF(AND($C16="Goal",Z$7&gt;=$D16,Z$7&lt;=$D16+$F16-1),2,IF(AND($C16="Milestone",Z$7&gt;=$D16,Z$7&lt;=$D16+$F16-1),1,""))</f>
        <v/>
      </c>
      <c r="AA16" s="11" t="str">
        <f>IF(AND($C16="Goal",AA$7&gt;=$D16,AA$7&lt;=$D16+$F16-1),2,IF(AND($C16="Milestone",AA$7&gt;=$D16,AA$7&lt;=$D16+$F16-1),1,""))</f>
        <v/>
      </c>
      <c r="AB16" s="11" t="str">
        <f>IF(AND($C16="Goal",AB$7&gt;=$D16,AB$7&lt;=$D16+$F16-1),2,IF(AND($C16="Milestone",AB$7&gt;=$D16,AB$7&lt;=$D16+$F16-1),1,""))</f>
        <v/>
      </c>
      <c r="AC16" s="11" t="str">
        <f>IF(AND($C16="Goal",AC$7&gt;=$D16,AC$7&lt;=$D16+$F16-1),2,IF(AND($C16="Milestone",AC$7&gt;=$D16,AC$7&lt;=$D16+$F16-1),1,""))</f>
        <v/>
      </c>
      <c r="AD16" s="11" t="str">
        <f>IF(AND($C16="Goal",AD$7&gt;=$D16,AD$7&lt;=$D16+$F16-1),2,IF(AND($C16="Milestone",AD$7&gt;=$D16,AD$7&lt;=$D16+$F16-1),1,""))</f>
        <v/>
      </c>
      <c r="AE16" s="11" t="str">
        <f>IF(AND($C16="Goal",AE$7&gt;=$D16,AE$7&lt;=$D16+$F16-1),2,IF(AND($C16="Milestone",AE$7&gt;=$D16,AE$7&lt;=$D16+$F16-1),1,""))</f>
        <v/>
      </c>
      <c r="AF16" s="11" t="str">
        <f>IF(AND($C16="Goal",AF$7&gt;=$D16,AF$7&lt;=$D16+$F16-1),2,IF(AND($C16="Milestone",AF$7&gt;=$D16,AF$7&lt;=$D16+$F16-1),1,""))</f>
        <v/>
      </c>
      <c r="AG16" s="11" t="str">
        <f>IF(AND($C16="Goal",AG$7&gt;=$D16,AG$7&lt;=$D16+$F16-1),2,IF(AND($C16="Milestone",AG$7&gt;=$D16,AG$7&lt;=$D16+$F16-1),1,""))</f>
        <v/>
      </c>
      <c r="AH16" s="11" t="str">
        <f>IF(AND($C16="Goal",AH$7&gt;=$D16,AH$7&lt;=$D16+$F16-1),2,IF(AND($C16="Milestone",AH$7&gt;=$D16,AH$7&lt;=$D16+$F16-1),1,""))</f>
        <v/>
      </c>
      <c r="AI16" s="11" t="str">
        <f>IF(AND($C16="Goal",AI$7&gt;=$D16,AI$7&lt;=$D16+$F16-1),2,IF(AND($C16="Milestone",AI$7&gt;=$D16,AI$7&lt;=$D16+$F16-1),1,""))</f>
        <v/>
      </c>
      <c r="AJ16" s="11" t="str">
        <f>IF(AND($C16="Goal",AJ$7&gt;=$D16,AJ$7&lt;=$D16+$F16-1),2,IF(AND($C16="Milestone",AJ$7&gt;=$D16,AJ$7&lt;=$D16+$F16-1),1,""))</f>
        <v/>
      </c>
      <c r="AK16" s="11" t="str">
        <f>IF(AND($C16="Goal",AK$7&gt;=$D16,AK$7&lt;=$D16+$F16-1),2,IF(AND($C16="Milestone",AK$7&gt;=$D16,AK$7&lt;=$D16+$F16-1),1,""))</f>
        <v/>
      </c>
      <c r="AL16" s="11" t="str">
        <f>IF(AND($C16="Goal",AL$7&gt;=$D16,AL$7&lt;=$D16+$F16-1),2,IF(AND($C16="Milestone",AL$7&gt;=$D16,AL$7&lt;=$D16+$F16-1),1,""))</f>
        <v/>
      </c>
      <c r="AM16" s="11" t="str">
        <f>IF(AND($C16="Goal",AM$7&gt;=$D16,AM$7&lt;=$D16+$F16-1),2,IF(AND($C16="Milestone",AM$7&gt;=$D16,AM$7&lt;=$D16+$F16-1),1,""))</f>
        <v/>
      </c>
      <c r="AN16" s="11" t="str">
        <f>IF(AND($C16="Goal",AN$7&gt;=$D16,AN$7&lt;=$D16+$F16-1),2,IF(AND($C16="Milestone",AN$7&gt;=$D16,AN$7&lt;=$D16+$F16-1),1,""))</f>
        <v/>
      </c>
      <c r="AO16" s="11" t="str">
        <f>IF(AND($C16="Goal",AO$7&gt;=$D16,AO$7&lt;=$D16+$F16-1),2,IF(AND($C16="Milestone",AO$7&gt;=$D16,AO$7&lt;=$D16+$F16-1),1,""))</f>
        <v/>
      </c>
      <c r="AP16" s="11" t="str">
        <f>IF(AND($C16="Goal",AP$7&gt;=$D16,AP$7&lt;=$D16+$F16-1),2,IF(AND($C16="Milestone",AP$7&gt;=$D16,AP$7&lt;=$D16+$F16-1),1,""))</f>
        <v/>
      </c>
      <c r="AQ16" s="11" t="str">
        <f>IF(AND($C16="Goal",AQ$7&gt;=$D16,AQ$7&lt;=$D16+$F16-1),2,IF(AND($C16="Milestone",AQ$7&gt;=$D16,AQ$7&lt;=$D16+$F16-1),1,""))</f>
        <v/>
      </c>
      <c r="AR16" s="11" t="str">
        <f>IF(AND($C16="Goal",AR$7&gt;=$D16,AR$7&lt;=$D16+$F16-1),2,IF(AND($C16="Milestone",AR$7&gt;=$D16,AR$7&lt;=$D16+$F16-1),1,""))</f>
        <v/>
      </c>
      <c r="AS16" s="11" t="str">
        <f>IF(AND($C16="Goal",AS$7&gt;=$D16,AS$7&lt;=$D16+$F16-1),2,IF(AND($C16="Milestone",AS$7&gt;=$D16,AS$7&lt;=$D16+$F16-1),1,""))</f>
        <v/>
      </c>
      <c r="AT16" s="11" t="str">
        <f>IF(AND($C16="Goal",AT$7&gt;=$D16,AT$7&lt;=$D16+$F16-1),2,IF(AND($C16="Milestone",AT$7&gt;=$D16,AT$7&lt;=$D16+$F16-1),1,""))</f>
        <v/>
      </c>
      <c r="AU16" s="11" t="str">
        <f>IF(AND($C16="Goal",AU$7&gt;=$D16,AU$7&lt;=$D16+$F16-1),2,IF(AND($C16="Milestone",AU$7&gt;=$D16,AU$7&lt;=$D16+$F16-1),1,""))</f>
        <v/>
      </c>
      <c r="AV16" s="11" t="str">
        <f>IF(AND($C16="Goal",AV$7&gt;=$D16,AV$7&lt;=$D16+$F16-1),2,IF(AND($C16="Milestone",AV$7&gt;=$D16,AV$7&lt;=$D16+$F16-1),1,""))</f>
        <v/>
      </c>
      <c r="AW16" s="11" t="str">
        <f>IF(AND($C16="Goal",AW$7&gt;=$D16,AW$7&lt;=$D16+$F16-1),2,IF(AND($C16="Milestone",AW$7&gt;=$D16,AW$7&lt;=$D16+$F16-1),1,""))</f>
        <v/>
      </c>
      <c r="AX16" s="11" t="str">
        <f>IF(AND($C16="Goal",AX$7&gt;=$D16,AX$7&lt;=$D16+$F16-1),2,IF(AND($C16="Milestone",AX$7&gt;=$D16,AX$7&lt;=$D16+$F16-1),1,""))</f>
        <v/>
      </c>
      <c r="AY16" s="11" t="str">
        <f>IF(AND($C16="Goal",AY$7&gt;=$D16,AY$7&lt;=$D16+$F16-1),2,IF(AND($C16="Milestone",AY$7&gt;=$D16,AY$7&lt;=$D16+$F16-1),1,""))</f>
        <v/>
      </c>
      <c r="AZ16" s="11" t="str">
        <f>IF(AND($C16="Goal",AZ$7&gt;=$D16,AZ$7&lt;=$D16+$F16-1),2,IF(AND($C16="Milestone",AZ$7&gt;=$D16,AZ$7&lt;=$D16+$F16-1),1,""))</f>
        <v/>
      </c>
      <c r="BA16" s="11" t="str">
        <f>IF(AND($C16="Goal",BA$7&gt;=$D16,BA$7&lt;=$D16+$F16-1),2,IF(AND($C16="Milestone",BA$7&gt;=$D16,BA$7&lt;=$D16+$F16-1),1,""))</f>
        <v/>
      </c>
      <c r="BB16" s="11" t="str">
        <f>IF(AND($C16="Goal",BB$7&gt;=$D16,BB$7&lt;=$D16+$F16-1),2,IF(AND($C16="Milestone",BB$7&gt;=$D16,BB$7&lt;=$D16+$F16-1),1,""))</f>
        <v/>
      </c>
      <c r="BC16" s="11" t="str">
        <f>IF(AND($C16="Goal",BC$7&gt;=$D16,BC$7&lt;=$D16+$F16-1),2,IF(AND($C16="Milestone",BC$7&gt;=$D16,BC$7&lt;=$D16+$F16-1),1,""))</f>
        <v/>
      </c>
      <c r="BD16" s="11" t="str">
        <f>IF(AND($C16="Goal",BD$7&gt;=$D16,BD$7&lt;=$D16+$F16-1),2,IF(AND($C16="Milestone",BD$7&gt;=$D16,BD$7&lt;=$D16+$F16-1),1,""))</f>
        <v/>
      </c>
      <c r="BE16" s="11" t="str">
        <f>IF(AND($C16="Goal",BE$7&gt;=$D16,BE$7&lt;=$D16+$F16-1),2,IF(AND($C16="Milestone",BE$7&gt;=$D16,BE$7&lt;=$D16+$F16-1),1,""))</f>
        <v/>
      </c>
      <c r="BF16" s="11" t="str">
        <f>IF(AND($C16="Goal",BF$7&gt;=$D16,BF$7&lt;=$D16+$F16-1),2,IF(AND($C16="Milestone",BF$7&gt;=$D16,BF$7&lt;=$D16+$F16-1),1,""))</f>
        <v/>
      </c>
      <c r="BG16" s="11" t="str">
        <f>IF(AND($C16="Goal",BG$7&gt;=$D16,BG$7&lt;=$D16+$F16-1),2,IF(AND($C16="Milestone",BG$7&gt;=$D16,BG$7&lt;=$D16+$F16-1),1,""))</f>
        <v/>
      </c>
      <c r="BH16" s="11" t="str">
        <f>IF(AND($C16="Goal",BH$7&gt;=$D16,BH$7&lt;=$D16+$F16-1),2,IF(AND($C16="Milestone",BH$7&gt;=$D16,BH$7&lt;=$D16+$F16-1),1,""))</f>
        <v/>
      </c>
      <c r="BI16" s="11" t="str">
        <f>IF(AND($C16="Goal",BI$7&gt;=$D16,BI$7&lt;=$D16+$F16-1),2,IF(AND($C16="Milestone",BI$7&gt;=$D16,BI$7&lt;=$D16+$F16-1),1,""))</f>
        <v/>
      </c>
      <c r="BJ16" s="11" t="str">
        <f>IF(AND($C16="Goal",BJ$7&gt;=$D16,BJ$7&lt;=$D16+$F16-1),2,IF(AND($C16="Milestone",BJ$7&gt;=$D16,BJ$7&lt;=$D16+$F16-1),1,""))</f>
        <v/>
      </c>
      <c r="BK16" s="11" t="str">
        <f>IF(AND($C16="Goal",BK$7&gt;=$D16,BK$7&lt;=$D16+$F16-1),2,IF(AND($C16="Milestone",BK$7&gt;=$D16,BK$7&lt;=$D16+$F16-1),1,""))</f>
        <v/>
      </c>
      <c r="BL16" s="11" t="str">
        <f>IF(AND($C16="Goal",BL$7&gt;=$D16,BL$7&lt;=$D16+$F16-1),2,IF(AND($C16="Milestone",BL$7&gt;=$D16,BL$7&lt;=$D16+$F16-1),1,""))</f>
        <v/>
      </c>
      <c r="BM16" s="11" t="str">
        <f>IF(AND($C16="Goal",BM$7&gt;=$D16,BM$7&lt;=$D16+$F16-1),2,IF(AND($C16="Milestone",BM$7&gt;=$D16,BM$7&lt;=$D16+$F16-1),1,""))</f>
        <v/>
      </c>
      <c r="BN16" s="11" t="str">
        <f>IF(AND($C16="Goal",BN$7&gt;=$D16,BN$7&lt;=$D16+$F16-1),2,IF(AND($C16="Milestone",BN$7&gt;=$D16,BN$7&lt;=$D16+$F16-1),1,""))</f>
        <v/>
      </c>
      <c r="BO16" s="11" t="str">
        <f>IF(AND($C16="Goal",BO$7&gt;=$D16,BO$7&lt;=$D16+$F16-1),2,IF(AND($C16="Milestone",BO$7&gt;=$D16,BO$7&lt;=$D16+$F16-1),1,""))</f>
        <v/>
      </c>
      <c r="BP16" s="11" t="str">
        <f>IF(AND($C16="Goal",BP$7&gt;=$D16,BP$7&lt;=$D16+$F16-1),2,IF(AND($C16="Milestone",BP$7&gt;=$D16,BP$7&lt;=$D16+$F16-1),1,""))</f>
        <v/>
      </c>
      <c r="BQ16" s="11" t="str">
        <f>IF(AND($C16="Goal",BQ$7&gt;=$D16,BQ$7&lt;=$D16+$F16-1),2,IF(AND($C16="Milestone",BQ$7&gt;=$D16,BQ$7&lt;=$D16+$F16-1),1,""))</f>
        <v/>
      </c>
      <c r="BR16" s="11" t="str">
        <f>IF(AND($C16="Goal",BR$7&gt;=$D16,BR$7&lt;=$D16+$F16-1),2,IF(AND($C16="Milestone",BR$7&gt;=$D16,BR$7&lt;=$D16+$F16-1),1,""))</f>
        <v/>
      </c>
      <c r="BS16" s="11" t="str">
        <f>IF(AND($C16="Goal",BS$7&gt;=$D16,BS$7&lt;=$D16+$F16-1),2,IF(AND($C16="Milestone",BS$7&gt;=$D16,BS$7&lt;=$D16+$F16-1),1,""))</f>
        <v/>
      </c>
      <c r="BT16" s="11" t="str">
        <f>IF(AND($C16="Goal",BT$7&gt;=$D16,BT$7&lt;=$D16+$F16-1),2,IF(AND($C16="Milestone",BT$7&gt;=$D16,BT$7&lt;=$D16+$F16-1),1,""))</f>
        <v/>
      </c>
      <c r="BU16" s="11" t="str">
        <f>IF(AND($C16="Goal",BU$7&gt;=$D16,BU$7&lt;=$D16+$F16-1),2,IF(AND($C16="Milestone",BU$7&gt;=$D16,BU$7&lt;=$D16+$F16-1),1,""))</f>
        <v/>
      </c>
      <c r="BV16" s="11" t="str">
        <f>IF(AND($C16="Goal",BV$7&gt;=$D16,BV$7&lt;=$D16+$F16-1),2,IF(AND($C16="Milestone",BV$7&gt;=$D16,BV$7&lt;=$D16+$F16-1),1,""))</f>
        <v/>
      </c>
      <c r="BW16" s="11" t="str">
        <f>IF(AND($C16="Goal",BW$7&gt;=$D16,BW$7&lt;=$D16+$F16-1),2,IF(AND($C16="Milestone",BW$7&gt;=$D16,BW$7&lt;=$D16+$F16-1),1,""))</f>
        <v/>
      </c>
      <c r="BX16" s="11" t="str">
        <f>IF(AND($C16="Goal",BX$7&gt;=$D16,BX$7&lt;=$D16+$F16-1),2,IF(AND($C16="Milestone",BX$7&gt;=$D16,BX$7&lt;=$D16+$F16-1),1,""))</f>
        <v/>
      </c>
      <c r="BY16" s="11" t="str">
        <f>IF(AND($C16="Goal",BY$7&gt;=$D16,BY$7&lt;=$D16+$F16-1),2,IF(AND($C16="Milestone",BY$7&gt;=$D16,BY$7&lt;=$D16+$F16-1),1,""))</f>
        <v/>
      </c>
      <c r="BZ16" s="11" t="str">
        <f>IF(AND($C16="Goal",BZ$7&gt;=$D16,BZ$7&lt;=$D16+$F16-1),2,IF(AND($C16="Milestone",BZ$7&gt;=$D16,BZ$7&lt;=$D16+$F16-1),1,""))</f>
        <v/>
      </c>
      <c r="CA16" s="11" t="str">
        <f>IF(AND($C16="Goal",CA$7&gt;=$D16,CA$7&lt;=$D16+$F16-1),2,IF(AND($C16="Milestone",CA$7&gt;=$D16,CA$7&lt;=$D16+$F16-1),1,""))</f>
        <v/>
      </c>
      <c r="CB16" s="11" t="str">
        <f>IF(AND($C16="Goal",CB$7&gt;=$D16,CB$7&lt;=$D16+$F16-1),2,IF(AND($C16="Milestone",CB$7&gt;=$D16,CB$7&lt;=$D16+$F16-1),1,""))</f>
        <v/>
      </c>
      <c r="CC16" s="11" t="str">
        <f>IF(AND($C16="Goal",CC$7&gt;=$D16,CC$7&lt;=$D16+$F16-1),2,IF(AND($C16="Milestone",CC$7&gt;=$D16,CC$7&lt;=$D16+$F16-1),1,""))</f>
        <v/>
      </c>
      <c r="CD16" s="11" t="str">
        <f>IF(AND($C16="Goal",CD$7&gt;=$D16,CD$7&lt;=$D16+$F16-1),2,IF(AND($C16="Milestone",CD$7&gt;=$D16,CD$7&lt;=$D16+$F16-1),1,""))</f>
        <v/>
      </c>
      <c r="CE16" s="11" t="str">
        <f>IF(AND($C16="Goal",CE$7&gt;=$D16,CE$7&lt;=$D16+$F16-1),2,IF(AND($C16="Milestone",CE$7&gt;=$D16,CE$7&lt;=$D16+$F16-1),1,""))</f>
        <v/>
      </c>
      <c r="CF16" s="11" t="str">
        <f>IF(AND($C16="Goal",CF$7&gt;=$D16,CF$7&lt;=$D16+$F16-1),2,IF(AND($C16="Milestone",CF$7&gt;=$D16,CF$7&lt;=$D16+$F16-1),1,""))</f>
        <v/>
      </c>
      <c r="CG16" s="11" t="str">
        <f>IF(AND($C16="Goal",CG$7&gt;=$D16,CG$7&lt;=$D16+$F16-1),2,IF(AND($C16="Milestone",CG$7&gt;=$D16,CG$7&lt;=$D16+$F16-1),1,""))</f>
        <v/>
      </c>
      <c r="CH16" s="11" t="str">
        <f>IF(AND($C16="Goal",CH$7&gt;=$D16,CH$7&lt;=$D16+$F16-1),2,IF(AND($C16="Milestone",CH$7&gt;=$D16,CH$7&lt;=$D16+$F16-1),1,""))</f>
        <v/>
      </c>
      <c r="CI16" s="11" t="str">
        <f>IF(AND($C16="Goal",CI$7&gt;=$D16,CI$7&lt;=$D16+$F16-1),2,IF(AND($C16="Milestone",CI$7&gt;=$D16,CI$7&lt;=$D16+$F16-1),1,""))</f>
        <v/>
      </c>
      <c r="CJ16" s="11" t="str">
        <f>IF(AND($C16="Goal",CJ$7&gt;=$D16,CJ$7&lt;=$D16+$F16-1),2,IF(AND($C16="Milestone",CJ$7&gt;=$D16,CJ$7&lt;=$D16+$F16-1),1,""))</f>
        <v/>
      </c>
      <c r="CK16" s="11" t="str">
        <f>IF(AND($C16="Goal",CK$7&gt;=$D16,CK$7&lt;=$D16+$F16-1),2,IF(AND($C16="Milestone",CK$7&gt;=$D16,CK$7&lt;=$D16+$F16-1),1,""))</f>
        <v/>
      </c>
      <c r="CL16" s="11" t="str">
        <f>IF(AND($C16="Goal",CL$7&gt;=$D16,CL$7&lt;=$D16+$F16-1),2,IF(AND($C16="Milestone",CL$7&gt;=$D16,CL$7&lt;=$D16+$F16-1),1,""))</f>
        <v/>
      </c>
      <c r="CM16" s="11" t="str">
        <f>IF(AND($C16="Goal",CM$7&gt;=$D16,CM$7&lt;=$D16+$F16-1),2,IF(AND($C16="Milestone",CM$7&gt;=$D16,CM$7&lt;=$D16+$F16-1),1,""))</f>
        <v/>
      </c>
      <c r="CN16" s="11" t="str">
        <f>IF(AND($C16="Goal",CN$7&gt;=$D16,CN$7&lt;=$D16+$F16-1),2,IF(AND($C16="Milestone",CN$7&gt;=$D16,CN$7&lt;=$D16+$F16-1),1,""))</f>
        <v/>
      </c>
      <c r="CO16" s="11" t="str">
        <f>IF(AND($C16="Goal",CO$7&gt;=$D16,CO$7&lt;=$D16+$F16-1),2,IF(AND($C16="Milestone",CO$7&gt;=$D16,CO$7&lt;=$D16+$F16-1),1,""))</f>
        <v/>
      </c>
      <c r="CP16" s="11" t="str">
        <f>IF(AND($C16="Goal",CP$7&gt;=$D16,CP$7&lt;=$D16+$F16-1),2,IF(AND($C16="Milestone",CP$7&gt;=$D16,CP$7&lt;=$D16+$F16-1),1,""))</f>
        <v/>
      </c>
      <c r="CQ16" s="11" t="str">
        <f>IF(AND($C16="Goal",CQ$7&gt;=$D16,CQ$7&lt;=$D16+$F16-1),2,IF(AND($C16="Milestone",CQ$7&gt;=$D16,CQ$7&lt;=$D16+$F16-1),1,""))</f>
        <v/>
      </c>
      <c r="CR16" s="11" t="str">
        <f>IF(AND($C16="Goal",CR$7&gt;=$D16,CR$7&lt;=$D16+$F16-1),2,IF(AND($C16="Milestone",CR$7&gt;=$D16,CR$7&lt;=$D16+$F16-1),1,""))</f>
        <v/>
      </c>
      <c r="CS16" s="11" t="str">
        <f>IF(AND($C16="Goal",CS$7&gt;=$D16,CS$7&lt;=$D16+$F16-1),2,IF(AND($C16="Milestone",CS$7&gt;=$D16,CS$7&lt;=$D16+$F16-1),1,""))</f>
        <v/>
      </c>
      <c r="CT16" s="11" t="str">
        <f>IF(AND($C16="Goal",CT$7&gt;=$D16,CT$7&lt;=$D16+$F16-1),2,IF(AND($C16="Milestone",CT$7&gt;=$D16,CT$7&lt;=$D16+$F16-1),1,""))</f>
        <v/>
      </c>
      <c r="CU16" s="11" t="str">
        <f>IF(AND($C16="Goal",CU$7&gt;=$D16,CU$7&lt;=$D16+$F16-1),2,IF(AND($C16="Milestone",CU$7&gt;=$D16,CU$7&lt;=$D16+$F16-1),1,""))</f>
        <v/>
      </c>
      <c r="CV16" s="11" t="str">
        <f>IF(AND($C16="Goal",CV$7&gt;=$D16,CV$7&lt;=$D16+$F16-1),2,IF(AND($C16="Milestone",CV$7&gt;=$D16,CV$7&lt;=$D16+$F16-1),1,""))</f>
        <v/>
      </c>
      <c r="CW16" s="11" t="str">
        <f>IF(AND($C16="Goal",CW$7&gt;=$D16,CW$7&lt;=$D16+$F16-1),2,IF(AND($C16="Milestone",CW$7&gt;=$D16,CW$7&lt;=$D16+$F16-1),1,""))</f>
        <v/>
      </c>
      <c r="CX16" s="11" t="str">
        <f>IF(AND($C16="Goal",CX$7&gt;=$D16,CX$7&lt;=$D16+$F16-1),2,IF(AND($C16="Milestone",CX$7&gt;=$D16,CX$7&lt;=$D16+$F16-1),1,""))</f>
        <v/>
      </c>
      <c r="CY16" s="11" t="str">
        <f>IF(AND($C16="Goal",CY$7&gt;=$D16,CY$7&lt;=$D16+$F16-1),2,IF(AND($C16="Milestone",CY$7&gt;=$D16,CY$7&lt;=$D16+$F16-1),1,""))</f>
        <v/>
      </c>
      <c r="CZ16" s="11" t="str">
        <f>IF(AND($C16="Goal",CZ$7&gt;=$D16,CZ$7&lt;=$D16+$F16-1),2,IF(AND($C16="Milestone",CZ$7&gt;=$D16,CZ$7&lt;=$D16+$F16-1),1,""))</f>
        <v/>
      </c>
      <c r="DA16" s="11" t="str">
        <f>IF(AND($C16="Goal",DA$7&gt;=$D16,DA$7&lt;=$D16+$F16-1),2,IF(AND($C16="Milestone",DA$7&gt;=$D16,DA$7&lt;=$D16+$F16-1),1,""))</f>
        <v/>
      </c>
      <c r="DB16" s="11" t="str">
        <f>IF(AND($C16="Goal",DB$7&gt;=$D16,DB$7&lt;=$D16+$F16-1),2,IF(AND($C16="Milestone",DB$7&gt;=$D16,DB$7&lt;=$D16+$F16-1),1,""))</f>
        <v/>
      </c>
      <c r="DC16" s="11" t="str">
        <f>IF(AND($C16="Goal",DC$7&gt;=$D16,DC$7&lt;=$D16+$F16-1),2,IF(AND($C16="Milestone",DC$7&gt;=$D16,DC$7&lt;=$D16+$F16-1),1,""))</f>
        <v/>
      </c>
      <c r="DD16" s="11" t="str">
        <f>IF(AND($C16="Goal",DD$7&gt;=$D16,DD$7&lt;=$D16+$F16-1),2,IF(AND($C16="Milestone",DD$7&gt;=$D16,DD$7&lt;=$D16+$F16-1),1,""))</f>
        <v/>
      </c>
      <c r="DE16" s="11" t="str">
        <f>IF(AND($C16="Goal",DE$7&gt;=$D16,DE$7&lt;=$D16+$F16-1),2,IF(AND($C16="Milestone",DE$7&gt;=$D16,DE$7&lt;=$D16+$F16-1),1,""))</f>
        <v/>
      </c>
      <c r="DF16" s="11" t="str">
        <f>IF(AND($C16="Goal",DF$7&gt;=$D16,DF$7&lt;=$D16+$F16-1),2,IF(AND($C16="Milestone",DF$7&gt;=$D16,DF$7&lt;=$D16+$F16-1),1,""))</f>
        <v/>
      </c>
    </row>
    <row r="17" spans="1:110" s="1" customFormat="1" ht="40.15" customHeight="1" x14ac:dyDescent="0.35">
      <c r="A17" s="4"/>
      <c r="B17" s="43" t="s">
        <v>11</v>
      </c>
      <c r="C17" s="13" t="s">
        <v>2</v>
      </c>
      <c r="D17" s="14">
        <f>D12+24</f>
        <v>45989</v>
      </c>
      <c r="E17" s="14">
        <f>Milestones4352[[#This Row],[Ínicio]]+Milestones4352[[#This Row],[Nº Dias]]-1</f>
        <v>46005</v>
      </c>
      <c r="F17" s="15">
        <v>17</v>
      </c>
      <c r="G17" s="13"/>
      <c r="H17" s="11" t="str">
        <f>IF(AND($C17="Goal",H$7&gt;=$D17,H$7&lt;=$D17+$F17-1),2,IF(AND($C17="Milestone",H$7&gt;=$D17,H$7&lt;=$D17+$F17-1),1,""))</f>
        <v/>
      </c>
      <c r="I17" s="11" t="str">
        <f>IF(AND($C17="Goal",I$7&gt;=$D17,I$7&lt;=$D17+$F17-1),2,IF(AND($C17="Milestone",I$7&gt;=$D17,I$7&lt;=$D17+$F17-1),1,""))</f>
        <v/>
      </c>
      <c r="J17" s="11" t="str">
        <f>IF(AND($C17="Goal",J$7&gt;=$D17,J$7&lt;=$D17+$F17-1),2,IF(AND($C17="Milestone",J$7&gt;=$D17,J$7&lt;=$D17+$F17-1),1,""))</f>
        <v/>
      </c>
      <c r="K17" s="11" t="str">
        <f>IF(AND($C17="Goal",K$7&gt;=$D17,K$7&lt;=$D17+$F17-1),2,IF(AND($C17="Milestone",K$7&gt;=$D17,K$7&lt;=$D17+$F17-1),1,""))</f>
        <v/>
      </c>
      <c r="L17" s="11" t="str">
        <f>IF(AND($C17="Goal",L$7&gt;=$D17,L$7&lt;=$D17+$F17-1),2,IF(AND($C17="Milestone",L$7&gt;=$D17,L$7&lt;=$D17+$F17-1),1,""))</f>
        <v/>
      </c>
      <c r="M17" s="11" t="str">
        <f>IF(AND($C17="Goal",M$7&gt;=$D17,M$7&lt;=$D17+$F17-1),2,IF(AND($C17="Milestone",M$7&gt;=$D17,M$7&lt;=$D17+$F17-1),1,""))</f>
        <v/>
      </c>
      <c r="N17" s="11" t="str">
        <f>IF(AND($C17="Goal",N$7&gt;=$D17,N$7&lt;=$D17+$F17-1),2,IF(AND($C17="Milestone",N$7&gt;=$D17,N$7&lt;=$D17+$F17-1),1,""))</f>
        <v/>
      </c>
      <c r="O17" s="11" t="str">
        <f>IF(AND($C17="Goal",O$7&gt;=$D17,O$7&lt;=$D17+$F17-1),2,IF(AND($C17="Milestone",O$7&gt;=$D17,O$7&lt;=$D17+$F17-1),1,""))</f>
        <v/>
      </c>
      <c r="P17" s="11" t="str">
        <f>IF(AND($C17="Goal",P$7&gt;=$D17,P$7&lt;=$D17+$F17-1),2,IF(AND($C17="Milestone",P$7&gt;=$D17,P$7&lt;=$D17+$F17-1),1,""))</f>
        <v/>
      </c>
      <c r="Q17" s="11" t="str">
        <f>IF(AND($C17="Goal",Q$7&gt;=$D17,Q$7&lt;=$D17+$F17-1),2,IF(AND($C17="Milestone",Q$7&gt;=$D17,Q$7&lt;=$D17+$F17-1),1,""))</f>
        <v/>
      </c>
      <c r="R17" s="11" t="str">
        <f>IF(AND($C17="Goal",R$7&gt;=$D17,R$7&lt;=$D17+$F17-1),2,IF(AND($C17="Milestone",R$7&gt;=$D17,R$7&lt;=$D17+$F17-1),1,""))</f>
        <v/>
      </c>
      <c r="S17" s="11" t="str">
        <f>IF(AND($C17="Goal",S$7&gt;=$D17,S$7&lt;=$D17+$F17-1),2,IF(AND($C17="Milestone",S$7&gt;=$D17,S$7&lt;=$D17+$F17-1),1,""))</f>
        <v/>
      </c>
      <c r="T17" s="11" t="str">
        <f>IF(AND($C17="Goal",T$7&gt;=$D17,T$7&lt;=$D17+$F17-1),2,IF(AND($C17="Milestone",T$7&gt;=$D17,T$7&lt;=$D17+$F17-1),1,""))</f>
        <v/>
      </c>
      <c r="U17" s="11" t="str">
        <f>IF(AND($C17="Goal",U$7&gt;=$D17,U$7&lt;=$D17+$F17-1),2,IF(AND($C17="Milestone",U$7&gt;=$D17,U$7&lt;=$D17+$F17-1),1,""))</f>
        <v/>
      </c>
      <c r="V17" s="11" t="str">
        <f>IF(AND($C17="Goal",V$7&gt;=$D17,V$7&lt;=$D17+$F17-1),2,IF(AND($C17="Milestone",V$7&gt;=$D17,V$7&lt;=$D17+$F17-1),1,""))</f>
        <v/>
      </c>
      <c r="W17" s="11" t="str">
        <f>IF(AND($C17="Goal",W$7&gt;=$D17,W$7&lt;=$D17+$F17-1),2,IF(AND($C17="Milestone",W$7&gt;=$D17,W$7&lt;=$D17+$F17-1),1,""))</f>
        <v/>
      </c>
      <c r="X17" s="11" t="str">
        <f>IF(AND($C17="Goal",X$7&gt;=$D17,X$7&lt;=$D17+$F17-1),2,IF(AND($C17="Milestone",X$7&gt;=$D17,X$7&lt;=$D17+$F17-1),1,""))</f>
        <v/>
      </c>
      <c r="Y17" s="11" t="str">
        <f>IF(AND($C17="Goal",Y$7&gt;=$D17,Y$7&lt;=$D17+$F17-1),2,IF(AND($C17="Milestone",Y$7&gt;=$D17,Y$7&lt;=$D17+$F17-1),1,""))</f>
        <v/>
      </c>
      <c r="Z17" s="11" t="str">
        <f>IF(AND($C17="Goal",Z$7&gt;=$D17,Z$7&lt;=$D17+$F17-1),2,IF(AND($C17="Milestone",Z$7&gt;=$D17,Z$7&lt;=$D17+$F17-1),1,""))</f>
        <v/>
      </c>
      <c r="AA17" s="11" t="str">
        <f>IF(AND($C17="Goal",AA$7&gt;=$D17,AA$7&lt;=$D17+$F17-1),2,IF(AND($C17="Milestone",AA$7&gt;=$D17,AA$7&lt;=$D17+$F17-1),1,""))</f>
        <v/>
      </c>
      <c r="AB17" s="11" t="str">
        <f>IF(AND($C17="Goal",AB$7&gt;=$D17,AB$7&lt;=$D17+$F17-1),2,IF(AND($C17="Milestone",AB$7&gt;=$D17,AB$7&lt;=$D17+$F17-1),1,""))</f>
        <v/>
      </c>
      <c r="AC17" s="11" t="str">
        <f>IF(AND($C17="Goal",AC$7&gt;=$D17,AC$7&lt;=$D17+$F17-1),2,IF(AND($C17="Milestone",AC$7&gt;=$D17,AC$7&lt;=$D17+$F17-1),1,""))</f>
        <v/>
      </c>
      <c r="AD17" s="11" t="str">
        <f>IF(AND($C17="Goal",AD$7&gt;=$D17,AD$7&lt;=$D17+$F17-1),2,IF(AND($C17="Milestone",AD$7&gt;=$D17,AD$7&lt;=$D17+$F17-1),1,""))</f>
        <v/>
      </c>
      <c r="AE17" s="11" t="str">
        <f>IF(AND($C17="Goal",AE$7&gt;=$D17,AE$7&lt;=$D17+$F17-1),2,IF(AND($C17="Milestone",AE$7&gt;=$D17,AE$7&lt;=$D17+$F17-1),1,""))</f>
        <v/>
      </c>
      <c r="AF17" s="11" t="str">
        <f>IF(AND($C17="Goal",AF$7&gt;=$D17,AF$7&lt;=$D17+$F17-1),2,IF(AND($C17="Milestone",AF$7&gt;=$D17,AF$7&lt;=$D17+$F17-1),1,""))</f>
        <v/>
      </c>
      <c r="AG17" s="11" t="str">
        <f>IF(AND($C17="Goal",AG$7&gt;=$D17,AG$7&lt;=$D17+$F17-1),2,IF(AND($C17="Milestone",AG$7&gt;=$D17,AG$7&lt;=$D17+$F17-1),1,""))</f>
        <v/>
      </c>
      <c r="AH17" s="11" t="str">
        <f>IF(AND($C17="Goal",AH$7&gt;=$D17,AH$7&lt;=$D17+$F17-1),2,IF(AND($C17="Milestone",AH$7&gt;=$D17,AH$7&lt;=$D17+$F17-1),1,""))</f>
        <v/>
      </c>
      <c r="AI17" s="11" t="str">
        <f>IF(AND($C17="Goal",AI$7&gt;=$D17,AI$7&lt;=$D17+$F17-1),2,IF(AND($C17="Milestone",AI$7&gt;=$D17,AI$7&lt;=$D17+$F17-1),1,""))</f>
        <v/>
      </c>
      <c r="AJ17" s="11" t="str">
        <f>IF(AND($C17="Goal",AJ$7&gt;=$D17,AJ$7&lt;=$D17+$F17-1),2,IF(AND($C17="Milestone",AJ$7&gt;=$D17,AJ$7&lt;=$D17+$F17-1),1,""))</f>
        <v/>
      </c>
      <c r="AK17" s="11" t="str">
        <f>IF(AND($C17="Goal",AK$7&gt;=$D17,AK$7&lt;=$D17+$F17-1),2,IF(AND($C17="Milestone",AK$7&gt;=$D17,AK$7&lt;=$D17+$F17-1),1,""))</f>
        <v/>
      </c>
      <c r="AL17" s="11" t="str">
        <f>IF(AND($C17="Goal",AL$7&gt;=$D17,AL$7&lt;=$D17+$F17-1),2,IF(AND($C17="Milestone",AL$7&gt;=$D17,AL$7&lt;=$D17+$F17-1),1,""))</f>
        <v/>
      </c>
      <c r="AM17" s="11" t="str">
        <f>IF(AND($C17="Goal",AM$7&gt;=$D17,AM$7&lt;=$D17+$F17-1),2,IF(AND($C17="Milestone",AM$7&gt;=$D17,AM$7&lt;=$D17+$F17-1),1,""))</f>
        <v/>
      </c>
      <c r="AN17" s="11" t="str">
        <f>IF(AND($C17="Goal",AN$7&gt;=$D17,AN$7&lt;=$D17+$F17-1),2,IF(AND($C17="Milestone",AN$7&gt;=$D17,AN$7&lt;=$D17+$F17-1),1,""))</f>
        <v/>
      </c>
      <c r="AO17" s="11" t="str">
        <f>IF(AND($C17="Goal",AO$7&gt;=$D17,AO$7&lt;=$D17+$F17-1),2,IF(AND($C17="Milestone",AO$7&gt;=$D17,AO$7&lt;=$D17+$F17-1),1,""))</f>
        <v/>
      </c>
      <c r="AP17" s="11" t="str">
        <f>IF(AND($C17="Goal",AP$7&gt;=$D17,AP$7&lt;=$D17+$F17-1),2,IF(AND($C17="Milestone",AP$7&gt;=$D17,AP$7&lt;=$D17+$F17-1),1,""))</f>
        <v/>
      </c>
      <c r="AQ17" s="11" t="str">
        <f>IF(AND($C17="Goal",AQ$7&gt;=$D17,AQ$7&lt;=$D17+$F17-1),2,IF(AND($C17="Milestone",AQ$7&gt;=$D17,AQ$7&lt;=$D17+$F17-1),1,""))</f>
        <v/>
      </c>
      <c r="AR17" s="11" t="str">
        <f>IF(AND($C17="Goal",AR$7&gt;=$D17,AR$7&lt;=$D17+$F17-1),2,IF(AND($C17="Milestone",AR$7&gt;=$D17,AR$7&lt;=$D17+$F17-1),1,""))</f>
        <v/>
      </c>
      <c r="AS17" s="11" t="str">
        <f>IF(AND($C17="Goal",AS$7&gt;=$D17,AS$7&lt;=$D17+$F17-1),2,IF(AND($C17="Milestone",AS$7&gt;=$D17,AS$7&lt;=$D17+$F17-1),1,""))</f>
        <v/>
      </c>
      <c r="AT17" s="11" t="str">
        <f>IF(AND($C17="Goal",AT$7&gt;=$D17,AT$7&lt;=$D17+$F17-1),2,IF(AND($C17="Milestone",AT$7&gt;=$D17,AT$7&lt;=$D17+$F17-1),1,""))</f>
        <v/>
      </c>
      <c r="AU17" s="11" t="str">
        <f>IF(AND($C17="Goal",AU$7&gt;=$D17,AU$7&lt;=$D17+$F17-1),2,IF(AND($C17="Milestone",AU$7&gt;=$D17,AU$7&lt;=$D17+$F17-1),1,""))</f>
        <v/>
      </c>
      <c r="AV17" s="11" t="str">
        <f>IF(AND($C17="Goal",AV$7&gt;=$D17,AV$7&lt;=$D17+$F17-1),2,IF(AND($C17="Milestone",AV$7&gt;=$D17,AV$7&lt;=$D17+$F17-1),1,""))</f>
        <v/>
      </c>
      <c r="AW17" s="11" t="str">
        <f>IF(AND($C17="Goal",AW$7&gt;=$D17,AW$7&lt;=$D17+$F17-1),2,IF(AND($C17="Milestone",AW$7&gt;=$D17,AW$7&lt;=$D17+$F17-1),1,""))</f>
        <v/>
      </c>
      <c r="AX17" s="11" t="str">
        <f>IF(AND($C17="Goal",AX$7&gt;=$D17,AX$7&lt;=$D17+$F17-1),2,IF(AND($C17="Milestone",AX$7&gt;=$D17,AX$7&lt;=$D17+$F17-1),1,""))</f>
        <v/>
      </c>
      <c r="AY17" s="11" t="str">
        <f>IF(AND($C17="Goal",AY$7&gt;=$D17,AY$7&lt;=$D17+$F17-1),2,IF(AND($C17="Milestone",AY$7&gt;=$D17,AY$7&lt;=$D17+$F17-1),1,""))</f>
        <v/>
      </c>
      <c r="AZ17" s="11" t="str">
        <f>IF(AND($C17="Goal",AZ$7&gt;=$D17,AZ$7&lt;=$D17+$F17-1),2,IF(AND($C17="Milestone",AZ$7&gt;=$D17,AZ$7&lt;=$D17+$F17-1),1,""))</f>
        <v/>
      </c>
      <c r="BA17" s="11" t="str">
        <f>IF(AND($C17="Goal",BA$7&gt;=$D17,BA$7&lt;=$D17+$F17-1),2,IF(AND($C17="Milestone",BA$7&gt;=$D17,BA$7&lt;=$D17+$F17-1),1,""))</f>
        <v/>
      </c>
      <c r="BB17" s="11" t="str">
        <f>IF(AND($C17="Goal",BB$7&gt;=$D17,BB$7&lt;=$D17+$F17-1),2,IF(AND($C17="Milestone",BB$7&gt;=$D17,BB$7&lt;=$D17+$F17-1),1,""))</f>
        <v/>
      </c>
      <c r="BC17" s="11" t="str">
        <f>IF(AND($C17="Goal",BC$7&gt;=$D17,BC$7&lt;=$D17+$F17-1),2,IF(AND($C17="Milestone",BC$7&gt;=$D17,BC$7&lt;=$D17+$F17-1),1,""))</f>
        <v/>
      </c>
      <c r="BD17" s="11" t="str">
        <f>IF(AND($C17="Goal",BD$7&gt;=$D17,BD$7&lt;=$D17+$F17-1),2,IF(AND($C17="Milestone",BD$7&gt;=$D17,BD$7&lt;=$D17+$F17-1),1,""))</f>
        <v/>
      </c>
      <c r="BE17" s="11" t="str">
        <f>IF(AND($C17="Goal",BE$7&gt;=$D17,BE$7&lt;=$D17+$F17-1),2,IF(AND($C17="Milestone",BE$7&gt;=$D17,BE$7&lt;=$D17+$F17-1),1,""))</f>
        <v/>
      </c>
      <c r="BF17" s="11" t="str">
        <f>IF(AND($C17="Goal",BF$7&gt;=$D17,BF$7&lt;=$D17+$F17-1),2,IF(AND($C17="Milestone",BF$7&gt;=$D17,BF$7&lt;=$D17+$F17-1),1,""))</f>
        <v/>
      </c>
      <c r="BG17" s="11" t="str">
        <f>IF(AND($C17="Goal",BG$7&gt;=$D17,BG$7&lt;=$D17+$F17-1),2,IF(AND($C17="Milestone",BG$7&gt;=$D17,BG$7&lt;=$D17+$F17-1),1,""))</f>
        <v/>
      </c>
      <c r="BH17" s="11" t="str">
        <f>IF(AND($C17="Goal",BH$7&gt;=$D17,BH$7&lt;=$D17+$F17-1),2,IF(AND($C17="Milestone",BH$7&gt;=$D17,BH$7&lt;=$D17+$F17-1),1,""))</f>
        <v/>
      </c>
      <c r="BI17" s="11" t="str">
        <f>IF(AND($C17="Goal",BI$7&gt;=$D17,BI$7&lt;=$D17+$F17-1),2,IF(AND($C17="Milestone",BI$7&gt;=$D17,BI$7&lt;=$D17+$F17-1),1,""))</f>
        <v/>
      </c>
      <c r="BJ17" s="11" t="str">
        <f>IF(AND($C17="Goal",BJ$7&gt;=$D17,BJ$7&lt;=$D17+$F17-1),2,IF(AND($C17="Milestone",BJ$7&gt;=$D17,BJ$7&lt;=$D17+$F17-1),1,""))</f>
        <v/>
      </c>
      <c r="BK17" s="11" t="str">
        <f>IF(AND($C17="Goal",BK$7&gt;=$D17,BK$7&lt;=$D17+$F17-1),2,IF(AND($C17="Milestone",BK$7&gt;=$D17,BK$7&lt;=$D17+$F17-1),1,""))</f>
        <v/>
      </c>
      <c r="BL17" s="11" t="str">
        <f>IF(AND($C17="Goal",BL$7&gt;=$D17,BL$7&lt;=$D17+$F17-1),2,IF(AND($C17="Milestone",BL$7&gt;=$D17,BL$7&lt;=$D17+$F17-1),1,""))</f>
        <v/>
      </c>
      <c r="BM17" s="11" t="str">
        <f>IF(AND($C17="Goal",BM$7&gt;=$D17,BM$7&lt;=$D17+$F17-1),2,IF(AND($C17="Milestone",BM$7&gt;=$D17,BM$7&lt;=$D17+$F17-1),1,""))</f>
        <v/>
      </c>
      <c r="BN17" s="11" t="str">
        <f>IF(AND($C17="Goal",BN$7&gt;=$D17,BN$7&lt;=$D17+$F17-1),2,IF(AND($C17="Milestone",BN$7&gt;=$D17,BN$7&lt;=$D17+$F17-1),1,""))</f>
        <v/>
      </c>
      <c r="BO17" s="11" t="str">
        <f>IF(AND($C17="Goal",BO$7&gt;=$D17,BO$7&lt;=$D17+$F17-1),2,IF(AND($C17="Milestone",BO$7&gt;=$D17,BO$7&lt;=$D17+$F17-1),1,""))</f>
        <v/>
      </c>
      <c r="BP17" s="11" t="str">
        <f>IF(AND($C17="Goal",BP$7&gt;=$D17,BP$7&lt;=$D17+$F17-1),2,IF(AND($C17="Milestone",BP$7&gt;=$D17,BP$7&lt;=$D17+$F17-1),1,""))</f>
        <v/>
      </c>
      <c r="BQ17" s="11" t="str">
        <f>IF(AND($C17="Goal",BQ$7&gt;=$D17,BQ$7&lt;=$D17+$F17-1),2,IF(AND($C17="Milestone",BQ$7&gt;=$D17,BQ$7&lt;=$D17+$F17-1),1,""))</f>
        <v/>
      </c>
      <c r="BR17" s="11" t="str">
        <f>IF(AND($C17="Goal",BR$7&gt;=$D17,BR$7&lt;=$D17+$F17-1),2,IF(AND($C17="Milestone",BR$7&gt;=$D17,BR$7&lt;=$D17+$F17-1),1,""))</f>
        <v/>
      </c>
      <c r="BS17" s="11" t="str">
        <f>IF(AND($C17="Goal",BS$7&gt;=$D17,BS$7&lt;=$D17+$F17-1),2,IF(AND($C17="Milestone",BS$7&gt;=$D17,BS$7&lt;=$D17+$F17-1),1,""))</f>
        <v/>
      </c>
      <c r="BT17" s="11" t="str">
        <f>IF(AND($C17="Goal",BT$7&gt;=$D17,BT$7&lt;=$D17+$F17-1),2,IF(AND($C17="Milestone",BT$7&gt;=$D17,BT$7&lt;=$D17+$F17-1),1,""))</f>
        <v/>
      </c>
      <c r="BU17" s="11" t="str">
        <f>IF(AND($C17="Goal",BU$7&gt;=$D17,BU$7&lt;=$D17+$F17-1),2,IF(AND($C17="Milestone",BU$7&gt;=$D17,BU$7&lt;=$D17+$F17-1),1,""))</f>
        <v/>
      </c>
      <c r="BV17" s="11" t="str">
        <f>IF(AND($C17="Goal",BV$7&gt;=$D17,BV$7&lt;=$D17+$F17-1),2,IF(AND($C17="Milestone",BV$7&gt;=$D17,BV$7&lt;=$D17+$F17-1),1,""))</f>
        <v/>
      </c>
      <c r="BW17" s="11" t="str">
        <f>IF(AND($C17="Goal",BW$7&gt;=$D17,BW$7&lt;=$D17+$F17-1),2,IF(AND($C17="Milestone",BW$7&gt;=$D17,BW$7&lt;=$D17+$F17-1),1,""))</f>
        <v/>
      </c>
      <c r="BX17" s="11" t="str">
        <f>IF(AND($C17="Goal",BX$7&gt;=$D17,BX$7&lt;=$D17+$F17-1),2,IF(AND($C17="Milestone",BX$7&gt;=$D17,BX$7&lt;=$D17+$F17-1),1,""))</f>
        <v/>
      </c>
      <c r="BY17" s="11" t="str">
        <f>IF(AND($C17="Goal",BY$7&gt;=$D17,BY$7&lt;=$D17+$F17-1),2,IF(AND($C17="Milestone",BY$7&gt;=$D17,BY$7&lt;=$D17+$F17-1),1,""))</f>
        <v/>
      </c>
      <c r="BZ17" s="11" t="str">
        <f>IF(AND($C17="Goal",BZ$7&gt;=$D17,BZ$7&lt;=$D17+$F17-1),2,IF(AND($C17="Milestone",BZ$7&gt;=$D17,BZ$7&lt;=$D17+$F17-1),1,""))</f>
        <v/>
      </c>
      <c r="CA17" s="11" t="str">
        <f>IF(AND($C17="Goal",CA$7&gt;=$D17,CA$7&lt;=$D17+$F17-1),2,IF(AND($C17="Milestone",CA$7&gt;=$D17,CA$7&lt;=$D17+$F17-1),1,""))</f>
        <v/>
      </c>
      <c r="CB17" s="11" t="str">
        <f>IF(AND($C17="Goal",CB$7&gt;=$D17,CB$7&lt;=$D17+$F17-1),2,IF(AND($C17="Milestone",CB$7&gt;=$D17,CB$7&lt;=$D17+$F17-1),1,""))</f>
        <v/>
      </c>
      <c r="CC17" s="11" t="str">
        <f>IF(AND($C17="Goal",CC$7&gt;=$D17,CC$7&lt;=$D17+$F17-1),2,IF(AND($C17="Milestone",CC$7&gt;=$D17,CC$7&lt;=$D17+$F17-1),1,""))</f>
        <v/>
      </c>
      <c r="CD17" s="11" t="str">
        <f>IF(AND($C17="Goal",CD$7&gt;=$D17,CD$7&lt;=$D17+$F17-1),2,IF(AND($C17="Milestone",CD$7&gt;=$D17,CD$7&lt;=$D17+$F17-1),1,""))</f>
        <v/>
      </c>
      <c r="CE17" s="11" t="str">
        <f>IF(AND($C17="Goal",CE$7&gt;=$D17,CE$7&lt;=$D17+$F17-1),2,IF(AND($C17="Milestone",CE$7&gt;=$D17,CE$7&lt;=$D17+$F17-1),1,""))</f>
        <v/>
      </c>
      <c r="CF17" s="11" t="str">
        <f>IF(AND($C17="Goal",CF$7&gt;=$D17,CF$7&lt;=$D17+$F17-1),2,IF(AND($C17="Milestone",CF$7&gt;=$D17,CF$7&lt;=$D17+$F17-1),1,""))</f>
        <v/>
      </c>
      <c r="CG17" s="11" t="str">
        <f>IF(AND($C17="Goal",CG$7&gt;=$D17,CG$7&lt;=$D17+$F17-1),2,IF(AND($C17="Milestone",CG$7&gt;=$D17,CG$7&lt;=$D17+$F17-1),1,""))</f>
        <v/>
      </c>
      <c r="CH17" s="11" t="str">
        <f>IF(AND($C17="Goal",CH$7&gt;=$D17,CH$7&lt;=$D17+$F17-1),2,IF(AND($C17="Milestone",CH$7&gt;=$D17,CH$7&lt;=$D17+$F17-1),1,""))</f>
        <v/>
      </c>
      <c r="CI17" s="11" t="str">
        <f>IF(AND($C17="Goal",CI$7&gt;=$D17,CI$7&lt;=$D17+$F17-1),2,IF(AND($C17="Milestone",CI$7&gt;=$D17,CI$7&lt;=$D17+$F17-1),1,""))</f>
        <v/>
      </c>
      <c r="CJ17" s="11" t="str">
        <f>IF(AND($C17="Goal",CJ$7&gt;=$D17,CJ$7&lt;=$D17+$F17-1),2,IF(AND($C17="Milestone",CJ$7&gt;=$D17,CJ$7&lt;=$D17+$F17-1),1,""))</f>
        <v/>
      </c>
      <c r="CK17" s="11" t="str">
        <f>IF(AND($C17="Goal",CK$7&gt;=$D17,CK$7&lt;=$D17+$F17-1),2,IF(AND($C17="Milestone",CK$7&gt;=$D17,CK$7&lt;=$D17+$F17-1),1,""))</f>
        <v/>
      </c>
      <c r="CL17" s="11" t="str">
        <f>IF(AND($C17="Goal",CL$7&gt;=$D17,CL$7&lt;=$D17+$F17-1),2,IF(AND($C17="Milestone",CL$7&gt;=$D17,CL$7&lt;=$D17+$F17-1),1,""))</f>
        <v/>
      </c>
      <c r="CM17" s="11" t="str">
        <f>IF(AND($C17="Goal",CM$7&gt;=$D17,CM$7&lt;=$D17+$F17-1),2,IF(AND($C17="Milestone",CM$7&gt;=$D17,CM$7&lt;=$D17+$F17-1),1,""))</f>
        <v/>
      </c>
      <c r="CN17" s="11" t="str">
        <f>IF(AND($C17="Goal",CN$7&gt;=$D17,CN$7&lt;=$D17+$F17-1),2,IF(AND($C17="Milestone",CN$7&gt;=$D17,CN$7&lt;=$D17+$F17-1),1,""))</f>
        <v/>
      </c>
      <c r="CO17" s="11" t="str">
        <f>IF(AND($C17="Goal",CO$7&gt;=$D17,CO$7&lt;=$D17+$F17-1),2,IF(AND($C17="Milestone",CO$7&gt;=$D17,CO$7&lt;=$D17+$F17-1),1,""))</f>
        <v/>
      </c>
      <c r="CP17" s="11" t="str">
        <f>IF(AND($C17="Goal",CP$7&gt;=$D17,CP$7&lt;=$D17+$F17-1),2,IF(AND($C17="Milestone",CP$7&gt;=$D17,CP$7&lt;=$D17+$F17-1),1,""))</f>
        <v/>
      </c>
      <c r="CQ17" s="11" t="str">
        <f>IF(AND($C17="Goal",CQ$7&gt;=$D17,CQ$7&lt;=$D17+$F17-1),2,IF(AND($C17="Milestone",CQ$7&gt;=$D17,CQ$7&lt;=$D17+$F17-1),1,""))</f>
        <v/>
      </c>
      <c r="CR17" s="11" t="str">
        <f>IF(AND($C17="Goal",CR$7&gt;=$D17,CR$7&lt;=$D17+$F17-1),2,IF(AND($C17="Milestone",CR$7&gt;=$D17,CR$7&lt;=$D17+$F17-1),1,""))</f>
        <v/>
      </c>
      <c r="CS17" s="11" t="str">
        <f>IF(AND($C17="Goal",CS$7&gt;=$D17,CS$7&lt;=$D17+$F17-1),2,IF(AND($C17="Milestone",CS$7&gt;=$D17,CS$7&lt;=$D17+$F17-1),1,""))</f>
        <v/>
      </c>
      <c r="CT17" s="11" t="str">
        <f>IF(AND($C17="Goal",CT$7&gt;=$D17,CT$7&lt;=$D17+$F17-1),2,IF(AND($C17="Milestone",CT$7&gt;=$D17,CT$7&lt;=$D17+$F17-1),1,""))</f>
        <v/>
      </c>
      <c r="CU17" s="11" t="str">
        <f>IF(AND($C17="Goal",CU$7&gt;=$D17,CU$7&lt;=$D17+$F17-1),2,IF(AND($C17="Milestone",CU$7&gt;=$D17,CU$7&lt;=$D17+$F17-1),1,""))</f>
        <v/>
      </c>
      <c r="CV17" s="11" t="str">
        <f>IF(AND($C17="Goal",CV$7&gt;=$D17,CV$7&lt;=$D17+$F17-1),2,IF(AND($C17="Milestone",CV$7&gt;=$D17,CV$7&lt;=$D17+$F17-1),1,""))</f>
        <v/>
      </c>
      <c r="CW17" s="11" t="str">
        <f>IF(AND($C17="Goal",CW$7&gt;=$D17,CW$7&lt;=$D17+$F17-1),2,IF(AND($C17="Milestone",CW$7&gt;=$D17,CW$7&lt;=$D17+$F17-1),1,""))</f>
        <v/>
      </c>
      <c r="CX17" s="11" t="str">
        <f>IF(AND($C17="Goal",CX$7&gt;=$D17,CX$7&lt;=$D17+$F17-1),2,IF(AND($C17="Milestone",CX$7&gt;=$D17,CX$7&lt;=$D17+$F17-1),1,""))</f>
        <v/>
      </c>
      <c r="CY17" s="11" t="str">
        <f>IF(AND($C17="Goal",CY$7&gt;=$D17,CY$7&lt;=$D17+$F17-1),2,IF(AND($C17="Milestone",CY$7&gt;=$D17,CY$7&lt;=$D17+$F17-1),1,""))</f>
        <v/>
      </c>
      <c r="CZ17" s="11" t="str">
        <f>IF(AND($C17="Goal",CZ$7&gt;=$D17,CZ$7&lt;=$D17+$F17-1),2,IF(AND($C17="Milestone",CZ$7&gt;=$D17,CZ$7&lt;=$D17+$F17-1),1,""))</f>
        <v/>
      </c>
      <c r="DA17" s="11" t="str">
        <f>IF(AND($C17="Goal",DA$7&gt;=$D17,DA$7&lt;=$D17+$F17-1),2,IF(AND($C17="Milestone",DA$7&gt;=$D17,DA$7&lt;=$D17+$F17-1),1,""))</f>
        <v/>
      </c>
      <c r="DB17" s="11" t="str">
        <f>IF(AND($C17="Goal",DB$7&gt;=$D17,DB$7&lt;=$D17+$F17-1),2,IF(AND($C17="Milestone",DB$7&gt;=$D17,DB$7&lt;=$D17+$F17-1),1,""))</f>
        <v/>
      </c>
      <c r="DC17" s="11" t="str">
        <f>IF(AND($C17="Goal",DC$7&gt;=$D17,DC$7&lt;=$D17+$F17-1),2,IF(AND($C17="Milestone",DC$7&gt;=$D17,DC$7&lt;=$D17+$F17-1),1,""))</f>
        <v/>
      </c>
      <c r="DD17" s="11" t="str">
        <f>IF(AND($C17="Goal",DD$7&gt;=$D17,DD$7&lt;=$D17+$F17-1),2,IF(AND($C17="Milestone",DD$7&gt;=$D17,DD$7&lt;=$D17+$F17-1),1,""))</f>
        <v/>
      </c>
      <c r="DE17" s="11" t="str">
        <f>IF(AND($C17="Goal",DE$7&gt;=$D17,DE$7&lt;=$D17+$F17-1),2,IF(AND($C17="Milestone",DE$7&gt;=$D17,DE$7&lt;=$D17+$F17-1),1,""))</f>
        <v/>
      </c>
      <c r="DF17" s="11" t="str">
        <f>IF(AND($C17="Goal",DF$7&gt;=$D17,DF$7&lt;=$D17+$F17-1),2,IF(AND($C17="Milestone",DF$7&gt;=$D17,DF$7&lt;=$D17+$F17-1),1,""))</f>
        <v/>
      </c>
    </row>
    <row r="18" spans="1:110" s="1" customFormat="1" ht="40.15" customHeight="1" x14ac:dyDescent="0.35">
      <c r="A18" s="5"/>
      <c r="B18" s="43" t="s">
        <v>13</v>
      </c>
      <c r="C18" s="13" t="s">
        <v>2</v>
      </c>
      <c r="D18" s="14">
        <v>45989</v>
      </c>
      <c r="E18" s="14">
        <f>Milestones4352[[#This Row],[Ínicio]]+Milestones4352[[#This Row],[Nº Dias]]-1</f>
        <v>46005</v>
      </c>
      <c r="F18" s="15">
        <v>17</v>
      </c>
      <c r="G18" s="13"/>
      <c r="H18" s="11" t="str">
        <f>IF(AND($C18="Goal",H$7&gt;=$D18,H$7&lt;=$D18+$F18-1),2,IF(AND($C18="Milestone",H$7&gt;=$D18,H$7&lt;=$D18+$F18-1),1,""))</f>
        <v/>
      </c>
      <c r="I18" s="11" t="str">
        <f>IF(AND($C18="Goal",I$7&gt;=$D18,I$7&lt;=$D18+$F18-1),2,IF(AND($C18="Milestone",I$7&gt;=$D18,I$7&lt;=$D18+$F18-1),1,""))</f>
        <v/>
      </c>
      <c r="J18" s="11" t="str">
        <f>IF(AND($C18="Goal",J$7&gt;=$D18,J$7&lt;=$D18+$F18-1),2,IF(AND($C18="Milestone",J$7&gt;=$D18,J$7&lt;=$D18+$F18-1),1,""))</f>
        <v/>
      </c>
      <c r="K18" s="11" t="str">
        <f>IF(AND($C18="Goal",K$7&gt;=$D18,K$7&lt;=$D18+$F18-1),2,IF(AND($C18="Milestone",K$7&gt;=$D18,K$7&lt;=$D18+$F18-1),1,""))</f>
        <v/>
      </c>
      <c r="L18" s="11" t="str">
        <f>IF(AND($C18="Goal",L$7&gt;=$D18,L$7&lt;=$D18+$F18-1),2,IF(AND($C18="Milestone",L$7&gt;=$D18,L$7&lt;=$D18+$F18-1),1,""))</f>
        <v/>
      </c>
      <c r="M18" s="11" t="str">
        <f>IF(AND($C18="Goal",M$7&gt;=$D18,M$7&lt;=$D18+$F18-1),2,IF(AND($C18="Milestone",M$7&gt;=$D18,M$7&lt;=$D18+$F18-1),1,""))</f>
        <v/>
      </c>
      <c r="N18" s="11" t="str">
        <f>IF(AND($C18="Goal",N$7&gt;=$D18,N$7&lt;=$D18+$F18-1),2,IF(AND($C18="Milestone",N$7&gt;=$D18,N$7&lt;=$D18+$F18-1),1,""))</f>
        <v/>
      </c>
      <c r="O18" s="11" t="str">
        <f>IF(AND($C18="Goal",O$7&gt;=$D18,O$7&lt;=$D18+$F18-1),2,IF(AND($C18="Milestone",O$7&gt;=$D18,O$7&lt;=$D18+$F18-1),1,""))</f>
        <v/>
      </c>
      <c r="P18" s="11" t="str">
        <f>IF(AND($C18="Goal",P$7&gt;=$D18,P$7&lt;=$D18+$F18-1),2,IF(AND($C18="Milestone",P$7&gt;=$D18,P$7&lt;=$D18+$F18-1),1,""))</f>
        <v/>
      </c>
      <c r="Q18" s="11" t="str">
        <f>IF(AND($C18="Goal",Q$7&gt;=$D18,Q$7&lt;=$D18+$F18-1),2,IF(AND($C18="Milestone",Q$7&gt;=$D18,Q$7&lt;=$D18+$F18-1),1,""))</f>
        <v/>
      </c>
      <c r="R18" s="11" t="str">
        <f>IF(AND($C18="Goal",R$7&gt;=$D18,R$7&lt;=$D18+$F18-1),2,IF(AND($C18="Milestone",R$7&gt;=$D18,R$7&lt;=$D18+$F18-1),1,""))</f>
        <v/>
      </c>
      <c r="S18" s="11" t="str">
        <f>IF(AND($C18="Goal",S$7&gt;=$D18,S$7&lt;=$D18+$F18-1),2,IF(AND($C18="Milestone",S$7&gt;=$D18,S$7&lt;=$D18+$F18-1),1,""))</f>
        <v/>
      </c>
      <c r="T18" s="11" t="str">
        <f>IF(AND($C18="Goal",T$7&gt;=$D18,T$7&lt;=$D18+$F18-1),2,IF(AND($C18="Milestone",T$7&gt;=$D18,T$7&lt;=$D18+$F18-1),1,""))</f>
        <v/>
      </c>
      <c r="U18" s="11" t="str">
        <f>IF(AND($C18="Goal",U$7&gt;=$D18,U$7&lt;=$D18+$F18-1),2,IF(AND($C18="Milestone",U$7&gt;=$D18,U$7&lt;=$D18+$F18-1),1,""))</f>
        <v/>
      </c>
      <c r="V18" s="11" t="str">
        <f>IF(AND($C18="Goal",V$7&gt;=$D18,V$7&lt;=$D18+$F18-1),2,IF(AND($C18="Milestone",V$7&gt;=$D18,V$7&lt;=$D18+$F18-1),1,""))</f>
        <v/>
      </c>
      <c r="W18" s="11" t="str">
        <f>IF(AND($C18="Goal",W$7&gt;=$D18,W$7&lt;=$D18+$F18-1),2,IF(AND($C18="Milestone",W$7&gt;=$D18,W$7&lt;=$D18+$F18-1),1,""))</f>
        <v/>
      </c>
      <c r="X18" s="11" t="str">
        <f>IF(AND($C18="Goal",X$7&gt;=$D18,X$7&lt;=$D18+$F18-1),2,IF(AND($C18="Milestone",X$7&gt;=$D18,X$7&lt;=$D18+$F18-1),1,""))</f>
        <v/>
      </c>
      <c r="Y18" s="11" t="str">
        <f>IF(AND($C18="Goal",Y$7&gt;=$D18,Y$7&lt;=$D18+$F18-1),2,IF(AND($C18="Milestone",Y$7&gt;=$D18,Y$7&lt;=$D18+$F18-1),1,""))</f>
        <v/>
      </c>
      <c r="Z18" s="11" t="str">
        <f>IF(AND($C18="Goal",Z$7&gt;=$D18,Z$7&lt;=$D18+$F18-1),2,IF(AND($C18="Milestone",Z$7&gt;=$D18,Z$7&lt;=$D18+$F18-1),1,""))</f>
        <v/>
      </c>
      <c r="AA18" s="11" t="str">
        <f>IF(AND($C18="Goal",AA$7&gt;=$D18,AA$7&lt;=$D18+$F18-1),2,IF(AND($C18="Milestone",AA$7&gt;=$D18,AA$7&lt;=$D18+$F18-1),1,""))</f>
        <v/>
      </c>
      <c r="AB18" s="11" t="str">
        <f>IF(AND($C18="Goal",AB$7&gt;=$D18,AB$7&lt;=$D18+$F18-1),2,IF(AND($C18="Milestone",AB$7&gt;=$D18,AB$7&lt;=$D18+$F18-1),1,""))</f>
        <v/>
      </c>
      <c r="AC18" s="11" t="str">
        <f>IF(AND($C18="Goal",AC$7&gt;=$D18,AC$7&lt;=$D18+$F18-1),2,IF(AND($C18="Milestone",AC$7&gt;=$D18,AC$7&lt;=$D18+$F18-1),1,""))</f>
        <v/>
      </c>
      <c r="AD18" s="11" t="str">
        <f>IF(AND($C18="Goal",AD$7&gt;=$D18,AD$7&lt;=$D18+$F18-1),2,IF(AND($C18="Milestone",AD$7&gt;=$D18,AD$7&lt;=$D18+$F18-1),1,""))</f>
        <v/>
      </c>
      <c r="AE18" s="11" t="str">
        <f>IF(AND($C18="Goal",AE$7&gt;=$D18,AE$7&lt;=$D18+$F18-1),2,IF(AND($C18="Milestone",AE$7&gt;=$D18,AE$7&lt;=$D18+$F18-1),1,""))</f>
        <v/>
      </c>
      <c r="AF18" s="11" t="str">
        <f>IF(AND($C18="Goal",AF$7&gt;=$D18,AF$7&lt;=$D18+$F18-1),2,IF(AND($C18="Milestone",AF$7&gt;=$D18,AF$7&lt;=$D18+$F18-1),1,""))</f>
        <v/>
      </c>
      <c r="AG18" s="11" t="str">
        <f>IF(AND($C18="Goal",AG$7&gt;=$D18,AG$7&lt;=$D18+$F18-1),2,IF(AND($C18="Milestone",AG$7&gt;=$D18,AG$7&lt;=$D18+$F18-1),1,""))</f>
        <v/>
      </c>
      <c r="AH18" s="11" t="str">
        <f>IF(AND($C18="Goal",AH$7&gt;=$D18,AH$7&lt;=$D18+$F18-1),2,IF(AND($C18="Milestone",AH$7&gt;=$D18,AH$7&lt;=$D18+$F18-1),1,""))</f>
        <v/>
      </c>
      <c r="AI18" s="11" t="str">
        <f>IF(AND($C18="Goal",AI$7&gt;=$D18,AI$7&lt;=$D18+$F18-1),2,IF(AND($C18="Milestone",AI$7&gt;=$D18,AI$7&lt;=$D18+$F18-1),1,""))</f>
        <v/>
      </c>
      <c r="AJ18" s="11" t="str">
        <f>IF(AND($C18="Goal",AJ$7&gt;=$D18,AJ$7&lt;=$D18+$F18-1),2,IF(AND($C18="Milestone",AJ$7&gt;=$D18,AJ$7&lt;=$D18+$F18-1),1,""))</f>
        <v/>
      </c>
      <c r="AK18" s="11" t="str">
        <f>IF(AND($C18="Goal",AK$7&gt;=$D18,AK$7&lt;=$D18+$F18-1),2,IF(AND($C18="Milestone",AK$7&gt;=$D18,AK$7&lt;=$D18+$F18-1),1,""))</f>
        <v/>
      </c>
      <c r="AL18" s="11" t="str">
        <f>IF(AND($C18="Goal",AL$7&gt;=$D18,AL$7&lt;=$D18+$F18-1),2,IF(AND($C18="Milestone",AL$7&gt;=$D18,AL$7&lt;=$D18+$F18-1),1,""))</f>
        <v/>
      </c>
      <c r="AM18" s="11" t="str">
        <f>IF(AND($C18="Goal",AM$7&gt;=$D18,AM$7&lt;=$D18+$F18-1),2,IF(AND($C18="Milestone",AM$7&gt;=$D18,AM$7&lt;=$D18+$F18-1),1,""))</f>
        <v/>
      </c>
      <c r="AN18" s="11" t="str">
        <f>IF(AND($C18="Goal",AN$7&gt;=$D18,AN$7&lt;=$D18+$F18-1),2,IF(AND($C18="Milestone",AN$7&gt;=$D18,AN$7&lt;=$D18+$F18-1),1,""))</f>
        <v/>
      </c>
      <c r="AO18" s="11" t="str">
        <f>IF(AND($C18="Goal",AO$7&gt;=$D18,AO$7&lt;=$D18+$F18-1),2,IF(AND($C18="Milestone",AO$7&gt;=$D18,AO$7&lt;=$D18+$F18-1),1,""))</f>
        <v/>
      </c>
      <c r="AP18" s="11" t="str">
        <f>IF(AND($C18="Goal",AP$7&gt;=$D18,AP$7&lt;=$D18+$F18-1),2,IF(AND($C18="Milestone",AP$7&gt;=$D18,AP$7&lt;=$D18+$F18-1),1,""))</f>
        <v/>
      </c>
      <c r="AQ18" s="11" t="str">
        <f>IF(AND($C18="Goal",AQ$7&gt;=$D18,AQ$7&lt;=$D18+$F18-1),2,IF(AND($C18="Milestone",AQ$7&gt;=$D18,AQ$7&lt;=$D18+$F18-1),1,""))</f>
        <v/>
      </c>
      <c r="AR18" s="11" t="str">
        <f>IF(AND($C18="Goal",AR$7&gt;=$D18,AR$7&lt;=$D18+$F18-1),2,IF(AND($C18="Milestone",AR$7&gt;=$D18,AR$7&lt;=$D18+$F18-1),1,""))</f>
        <v/>
      </c>
      <c r="AS18" s="11" t="str">
        <f>IF(AND($C18="Goal",AS$7&gt;=$D18,AS$7&lt;=$D18+$F18-1),2,IF(AND($C18="Milestone",AS$7&gt;=$D18,AS$7&lt;=$D18+$F18-1),1,""))</f>
        <v/>
      </c>
      <c r="AT18" s="11" t="str">
        <f>IF(AND($C18="Goal",AT$7&gt;=$D18,AT$7&lt;=$D18+$F18-1),2,IF(AND($C18="Milestone",AT$7&gt;=$D18,AT$7&lt;=$D18+$F18-1),1,""))</f>
        <v/>
      </c>
      <c r="AU18" s="11" t="str">
        <f>IF(AND($C18="Goal",AU$7&gt;=$D18,AU$7&lt;=$D18+$F18-1),2,IF(AND($C18="Milestone",AU$7&gt;=$D18,AU$7&lt;=$D18+$F18-1),1,""))</f>
        <v/>
      </c>
      <c r="AV18" s="11" t="str">
        <f>IF(AND($C18="Goal",AV$7&gt;=$D18,AV$7&lt;=$D18+$F18-1),2,IF(AND($C18="Milestone",AV$7&gt;=$D18,AV$7&lt;=$D18+$F18-1),1,""))</f>
        <v/>
      </c>
      <c r="AW18" s="11" t="str">
        <f>IF(AND($C18="Goal",AW$7&gt;=$D18,AW$7&lt;=$D18+$F18-1),2,IF(AND($C18="Milestone",AW$7&gt;=$D18,AW$7&lt;=$D18+$F18-1),1,""))</f>
        <v/>
      </c>
      <c r="AX18" s="11" t="str">
        <f>IF(AND($C18="Goal",AX$7&gt;=$D18,AX$7&lt;=$D18+$F18-1),2,IF(AND($C18="Milestone",AX$7&gt;=$D18,AX$7&lt;=$D18+$F18-1),1,""))</f>
        <v/>
      </c>
      <c r="AY18" s="11" t="str">
        <f>IF(AND($C18="Goal",AY$7&gt;=$D18,AY$7&lt;=$D18+$F18-1),2,IF(AND($C18="Milestone",AY$7&gt;=$D18,AY$7&lt;=$D18+$F18-1),1,""))</f>
        <v/>
      </c>
      <c r="AZ18" s="11" t="str">
        <f>IF(AND($C18="Goal",AZ$7&gt;=$D18,AZ$7&lt;=$D18+$F18-1),2,IF(AND($C18="Milestone",AZ$7&gt;=$D18,AZ$7&lt;=$D18+$F18-1),1,""))</f>
        <v/>
      </c>
      <c r="BA18" s="11" t="str">
        <f>IF(AND($C18="Goal",BA$7&gt;=$D18,BA$7&lt;=$D18+$F18-1),2,IF(AND($C18="Milestone",BA$7&gt;=$D18,BA$7&lt;=$D18+$F18-1),1,""))</f>
        <v/>
      </c>
      <c r="BB18" s="11" t="str">
        <f>IF(AND($C18="Goal",BB$7&gt;=$D18,BB$7&lt;=$D18+$F18-1),2,IF(AND($C18="Milestone",BB$7&gt;=$D18,BB$7&lt;=$D18+$F18-1),1,""))</f>
        <v/>
      </c>
      <c r="BC18" s="11" t="str">
        <f>IF(AND($C18="Goal",BC$7&gt;=$D18,BC$7&lt;=$D18+$F18-1),2,IF(AND($C18="Milestone",BC$7&gt;=$D18,BC$7&lt;=$D18+$F18-1),1,""))</f>
        <v/>
      </c>
      <c r="BD18" s="11" t="str">
        <f>IF(AND($C18="Goal",BD$7&gt;=$D18,BD$7&lt;=$D18+$F18-1),2,IF(AND($C18="Milestone",BD$7&gt;=$D18,BD$7&lt;=$D18+$F18-1),1,""))</f>
        <v/>
      </c>
      <c r="BE18" s="11" t="str">
        <f>IF(AND($C18="Goal",BE$7&gt;=$D18,BE$7&lt;=$D18+$F18-1),2,IF(AND($C18="Milestone",BE$7&gt;=$D18,BE$7&lt;=$D18+$F18-1),1,""))</f>
        <v/>
      </c>
      <c r="BF18" s="11" t="str">
        <f>IF(AND($C18="Goal",BF$7&gt;=$D18,BF$7&lt;=$D18+$F18-1),2,IF(AND($C18="Milestone",BF$7&gt;=$D18,BF$7&lt;=$D18+$F18-1),1,""))</f>
        <v/>
      </c>
      <c r="BG18" s="11" t="str">
        <f>IF(AND($C18="Goal",BG$7&gt;=$D18,BG$7&lt;=$D18+$F18-1),2,IF(AND($C18="Milestone",BG$7&gt;=$D18,BG$7&lt;=$D18+$F18-1),1,""))</f>
        <v/>
      </c>
      <c r="BH18" s="11" t="str">
        <f>IF(AND($C18="Goal",BH$7&gt;=$D18,BH$7&lt;=$D18+$F18-1),2,IF(AND($C18="Milestone",BH$7&gt;=$D18,BH$7&lt;=$D18+$F18-1),1,""))</f>
        <v/>
      </c>
      <c r="BI18" s="11" t="str">
        <f>IF(AND($C18="Goal",BI$7&gt;=$D18,BI$7&lt;=$D18+$F18-1),2,IF(AND($C18="Milestone",BI$7&gt;=$D18,BI$7&lt;=$D18+$F18-1),1,""))</f>
        <v/>
      </c>
      <c r="BJ18" s="11" t="str">
        <f>IF(AND($C18="Goal",BJ$7&gt;=$D18,BJ$7&lt;=$D18+$F18-1),2,IF(AND($C18="Milestone",BJ$7&gt;=$D18,BJ$7&lt;=$D18+$F18-1),1,""))</f>
        <v/>
      </c>
      <c r="BK18" s="11" t="str">
        <f>IF(AND($C18="Goal",BK$7&gt;=$D18,BK$7&lt;=$D18+$F18-1),2,IF(AND($C18="Milestone",BK$7&gt;=$D18,BK$7&lt;=$D18+$F18-1),1,""))</f>
        <v/>
      </c>
      <c r="BL18" s="11" t="str">
        <f>IF(AND($C18="Goal",BL$7&gt;=$D18,BL$7&lt;=$D18+$F18-1),2,IF(AND($C18="Milestone",BL$7&gt;=$D18,BL$7&lt;=$D18+$F18-1),1,""))</f>
        <v/>
      </c>
      <c r="BM18" s="11" t="str">
        <f>IF(AND($C18="Goal",BM$7&gt;=$D18,BM$7&lt;=$D18+$F18-1),2,IF(AND($C18="Milestone",BM$7&gt;=$D18,BM$7&lt;=$D18+$F18-1),1,""))</f>
        <v/>
      </c>
      <c r="BN18" s="11" t="str">
        <f>IF(AND($C18="Goal",BN$7&gt;=$D18,BN$7&lt;=$D18+$F18-1),2,IF(AND($C18="Milestone",BN$7&gt;=$D18,BN$7&lt;=$D18+$F18-1),1,""))</f>
        <v/>
      </c>
      <c r="BO18" s="11" t="str">
        <f>IF(AND($C18="Goal",BO$7&gt;=$D18,BO$7&lt;=$D18+$F18-1),2,IF(AND($C18="Milestone",BO$7&gt;=$D18,BO$7&lt;=$D18+$F18-1),1,""))</f>
        <v/>
      </c>
      <c r="BP18" s="11" t="str">
        <f>IF(AND($C18="Goal",BP$7&gt;=$D18,BP$7&lt;=$D18+$F18-1),2,IF(AND($C18="Milestone",BP$7&gt;=$D18,BP$7&lt;=$D18+$F18-1),1,""))</f>
        <v/>
      </c>
      <c r="BQ18" s="11" t="str">
        <f>IF(AND($C18="Goal",BQ$7&gt;=$D18,BQ$7&lt;=$D18+$F18-1),2,IF(AND($C18="Milestone",BQ$7&gt;=$D18,BQ$7&lt;=$D18+$F18-1),1,""))</f>
        <v/>
      </c>
      <c r="BR18" s="11" t="str">
        <f>IF(AND($C18="Goal",BR$7&gt;=$D18,BR$7&lt;=$D18+$F18-1),2,IF(AND($C18="Milestone",BR$7&gt;=$D18,BR$7&lt;=$D18+$F18-1),1,""))</f>
        <v/>
      </c>
      <c r="BS18" s="11" t="str">
        <f>IF(AND($C18="Goal",BS$7&gt;=$D18,BS$7&lt;=$D18+$F18-1),2,IF(AND($C18="Milestone",BS$7&gt;=$D18,BS$7&lt;=$D18+$F18-1),1,""))</f>
        <v/>
      </c>
      <c r="BT18" s="11" t="str">
        <f>IF(AND($C18="Goal",BT$7&gt;=$D18,BT$7&lt;=$D18+$F18-1),2,IF(AND($C18="Milestone",BT$7&gt;=$D18,BT$7&lt;=$D18+$F18-1),1,""))</f>
        <v/>
      </c>
      <c r="BU18" s="11" t="str">
        <f>IF(AND($C18="Goal",BU$7&gt;=$D18,BU$7&lt;=$D18+$F18-1),2,IF(AND($C18="Milestone",BU$7&gt;=$D18,BU$7&lt;=$D18+$F18-1),1,""))</f>
        <v/>
      </c>
      <c r="BV18" s="11" t="str">
        <f>IF(AND($C18="Goal",BV$7&gt;=$D18,BV$7&lt;=$D18+$F18-1),2,IF(AND($C18="Milestone",BV$7&gt;=$D18,BV$7&lt;=$D18+$F18-1),1,""))</f>
        <v/>
      </c>
      <c r="BW18" s="11" t="str">
        <f>IF(AND($C18="Goal",BW$7&gt;=$D18,BW$7&lt;=$D18+$F18-1),2,IF(AND($C18="Milestone",BW$7&gt;=$D18,BW$7&lt;=$D18+$F18-1),1,""))</f>
        <v/>
      </c>
      <c r="BX18" s="11" t="str">
        <f>IF(AND($C18="Goal",BX$7&gt;=$D18,BX$7&lt;=$D18+$F18-1),2,IF(AND($C18="Milestone",BX$7&gt;=$D18,BX$7&lt;=$D18+$F18-1),1,""))</f>
        <v/>
      </c>
      <c r="BY18" s="11" t="str">
        <f>IF(AND($C18="Goal",BY$7&gt;=$D18,BY$7&lt;=$D18+$F18-1),2,IF(AND($C18="Milestone",BY$7&gt;=$D18,BY$7&lt;=$D18+$F18-1),1,""))</f>
        <v/>
      </c>
      <c r="BZ18" s="11" t="str">
        <f>IF(AND($C18="Goal",BZ$7&gt;=$D18,BZ$7&lt;=$D18+$F18-1),2,IF(AND($C18="Milestone",BZ$7&gt;=$D18,BZ$7&lt;=$D18+$F18-1),1,""))</f>
        <v/>
      </c>
      <c r="CA18" s="11" t="str">
        <f>IF(AND($C18="Goal",CA$7&gt;=$D18,CA$7&lt;=$D18+$F18-1),2,IF(AND($C18="Milestone",CA$7&gt;=$D18,CA$7&lt;=$D18+$F18-1),1,""))</f>
        <v/>
      </c>
      <c r="CB18" s="11" t="str">
        <f>IF(AND($C18="Goal",CB$7&gt;=$D18,CB$7&lt;=$D18+$F18-1),2,IF(AND($C18="Milestone",CB$7&gt;=$D18,CB$7&lt;=$D18+$F18-1),1,""))</f>
        <v/>
      </c>
      <c r="CC18" s="11" t="str">
        <f>IF(AND($C18="Goal",CC$7&gt;=$D18,CC$7&lt;=$D18+$F18-1),2,IF(AND($C18="Milestone",CC$7&gt;=$D18,CC$7&lt;=$D18+$F18-1),1,""))</f>
        <v/>
      </c>
      <c r="CD18" s="11" t="str">
        <f>IF(AND($C18="Goal",CD$7&gt;=$D18,CD$7&lt;=$D18+$F18-1),2,IF(AND($C18="Milestone",CD$7&gt;=$D18,CD$7&lt;=$D18+$F18-1),1,""))</f>
        <v/>
      </c>
      <c r="CE18" s="11" t="str">
        <f>IF(AND($C18="Goal",CE$7&gt;=$D18,CE$7&lt;=$D18+$F18-1),2,IF(AND($C18="Milestone",CE$7&gt;=$D18,CE$7&lt;=$D18+$F18-1),1,""))</f>
        <v/>
      </c>
      <c r="CF18" s="11" t="str">
        <f>IF(AND($C18="Goal",CF$7&gt;=$D18,CF$7&lt;=$D18+$F18-1),2,IF(AND($C18="Milestone",CF$7&gt;=$D18,CF$7&lt;=$D18+$F18-1),1,""))</f>
        <v/>
      </c>
      <c r="CG18" s="11" t="str">
        <f>IF(AND($C18="Goal",CG$7&gt;=$D18,CG$7&lt;=$D18+$F18-1),2,IF(AND($C18="Milestone",CG$7&gt;=$D18,CG$7&lt;=$D18+$F18-1),1,""))</f>
        <v/>
      </c>
      <c r="CH18" s="11" t="str">
        <f>IF(AND($C18="Goal",CH$7&gt;=$D18,CH$7&lt;=$D18+$F18-1),2,IF(AND($C18="Milestone",CH$7&gt;=$D18,CH$7&lt;=$D18+$F18-1),1,""))</f>
        <v/>
      </c>
      <c r="CI18" s="11" t="str">
        <f>IF(AND($C18="Goal",CI$7&gt;=$D18,CI$7&lt;=$D18+$F18-1),2,IF(AND($C18="Milestone",CI$7&gt;=$D18,CI$7&lt;=$D18+$F18-1),1,""))</f>
        <v/>
      </c>
      <c r="CJ18" s="11" t="str">
        <f>IF(AND($C18="Goal",CJ$7&gt;=$D18,CJ$7&lt;=$D18+$F18-1),2,IF(AND($C18="Milestone",CJ$7&gt;=$D18,CJ$7&lt;=$D18+$F18-1),1,""))</f>
        <v/>
      </c>
      <c r="CK18" s="11" t="str">
        <f>IF(AND($C18="Goal",CK$7&gt;=$D18,CK$7&lt;=$D18+$F18-1),2,IF(AND($C18="Milestone",CK$7&gt;=$D18,CK$7&lt;=$D18+$F18-1),1,""))</f>
        <v/>
      </c>
      <c r="CL18" s="11" t="str">
        <f>IF(AND($C18="Goal",CL$7&gt;=$D18,CL$7&lt;=$D18+$F18-1),2,IF(AND($C18="Milestone",CL$7&gt;=$D18,CL$7&lt;=$D18+$F18-1),1,""))</f>
        <v/>
      </c>
      <c r="CM18" s="11" t="str">
        <f>IF(AND($C18="Goal",CM$7&gt;=$D18,CM$7&lt;=$D18+$F18-1),2,IF(AND($C18="Milestone",CM$7&gt;=$D18,CM$7&lt;=$D18+$F18-1),1,""))</f>
        <v/>
      </c>
      <c r="CN18" s="11" t="str">
        <f>IF(AND($C18="Goal",CN$7&gt;=$D18,CN$7&lt;=$D18+$F18-1),2,IF(AND($C18="Milestone",CN$7&gt;=$D18,CN$7&lt;=$D18+$F18-1),1,""))</f>
        <v/>
      </c>
      <c r="CO18" s="11" t="str">
        <f>IF(AND($C18="Goal",CO$7&gt;=$D18,CO$7&lt;=$D18+$F18-1),2,IF(AND($C18="Milestone",CO$7&gt;=$D18,CO$7&lt;=$D18+$F18-1),1,""))</f>
        <v/>
      </c>
      <c r="CP18" s="11" t="str">
        <f>IF(AND($C18="Goal",CP$7&gt;=$D18,CP$7&lt;=$D18+$F18-1),2,IF(AND($C18="Milestone",CP$7&gt;=$D18,CP$7&lt;=$D18+$F18-1),1,""))</f>
        <v/>
      </c>
      <c r="CQ18" s="11" t="str">
        <f>IF(AND($C18="Goal",CQ$7&gt;=$D18,CQ$7&lt;=$D18+$F18-1),2,IF(AND($C18="Milestone",CQ$7&gt;=$D18,CQ$7&lt;=$D18+$F18-1),1,""))</f>
        <v/>
      </c>
      <c r="CR18" s="11" t="str">
        <f>IF(AND($C18="Goal",CR$7&gt;=$D18,CR$7&lt;=$D18+$F18-1),2,IF(AND($C18="Milestone",CR$7&gt;=$D18,CR$7&lt;=$D18+$F18-1),1,""))</f>
        <v/>
      </c>
      <c r="CS18" s="11" t="str">
        <f>IF(AND($C18="Goal",CS$7&gt;=$D18,CS$7&lt;=$D18+$F18-1),2,IF(AND($C18="Milestone",CS$7&gt;=$D18,CS$7&lt;=$D18+$F18-1),1,""))</f>
        <v/>
      </c>
      <c r="CT18" s="11" t="str">
        <f>IF(AND($C18="Goal",CT$7&gt;=$D18,CT$7&lt;=$D18+$F18-1),2,IF(AND($C18="Milestone",CT$7&gt;=$D18,CT$7&lt;=$D18+$F18-1),1,""))</f>
        <v/>
      </c>
      <c r="CU18" s="11" t="str">
        <f>IF(AND($C18="Goal",CU$7&gt;=$D18,CU$7&lt;=$D18+$F18-1),2,IF(AND($C18="Milestone",CU$7&gt;=$D18,CU$7&lt;=$D18+$F18-1),1,""))</f>
        <v/>
      </c>
      <c r="CV18" s="11" t="str">
        <f>IF(AND($C18="Goal",CV$7&gt;=$D18,CV$7&lt;=$D18+$F18-1),2,IF(AND($C18="Milestone",CV$7&gt;=$D18,CV$7&lt;=$D18+$F18-1),1,""))</f>
        <v/>
      </c>
      <c r="CW18" s="11" t="str">
        <f>IF(AND($C18="Goal",CW$7&gt;=$D18,CW$7&lt;=$D18+$F18-1),2,IF(AND($C18="Milestone",CW$7&gt;=$D18,CW$7&lt;=$D18+$F18-1),1,""))</f>
        <v/>
      </c>
      <c r="CX18" s="11" t="str">
        <f>IF(AND($C18="Goal",CX$7&gt;=$D18,CX$7&lt;=$D18+$F18-1),2,IF(AND($C18="Milestone",CX$7&gt;=$D18,CX$7&lt;=$D18+$F18-1),1,""))</f>
        <v/>
      </c>
      <c r="CY18" s="11" t="str">
        <f>IF(AND($C18="Goal",CY$7&gt;=$D18,CY$7&lt;=$D18+$F18-1),2,IF(AND($C18="Milestone",CY$7&gt;=$D18,CY$7&lt;=$D18+$F18-1),1,""))</f>
        <v/>
      </c>
      <c r="CZ18" s="11" t="str">
        <f>IF(AND($C18="Goal",CZ$7&gt;=$D18,CZ$7&lt;=$D18+$F18-1),2,IF(AND($C18="Milestone",CZ$7&gt;=$D18,CZ$7&lt;=$D18+$F18-1),1,""))</f>
        <v/>
      </c>
      <c r="DA18" s="11" t="str">
        <f>IF(AND($C18="Goal",DA$7&gt;=$D18,DA$7&lt;=$D18+$F18-1),2,IF(AND($C18="Milestone",DA$7&gt;=$D18,DA$7&lt;=$D18+$F18-1),1,""))</f>
        <v/>
      </c>
      <c r="DB18" s="11" t="str">
        <f>IF(AND($C18="Goal",DB$7&gt;=$D18,DB$7&lt;=$D18+$F18-1),2,IF(AND($C18="Milestone",DB$7&gt;=$D18,DB$7&lt;=$D18+$F18-1),1,""))</f>
        <v/>
      </c>
      <c r="DC18" s="11" t="str">
        <f>IF(AND($C18="Goal",DC$7&gt;=$D18,DC$7&lt;=$D18+$F18-1),2,IF(AND($C18="Milestone",DC$7&gt;=$D18,DC$7&lt;=$D18+$F18-1),1,""))</f>
        <v/>
      </c>
      <c r="DD18" s="11" t="str">
        <f>IF(AND($C18="Goal",DD$7&gt;=$D18,DD$7&lt;=$D18+$F18-1),2,IF(AND($C18="Milestone",DD$7&gt;=$D18,DD$7&lt;=$D18+$F18-1),1,""))</f>
        <v/>
      </c>
      <c r="DE18" s="11" t="str">
        <f>IF(AND($C18="Goal",DE$7&gt;=$D18,DE$7&lt;=$D18+$F18-1),2,IF(AND($C18="Milestone",DE$7&gt;=$D18,DE$7&lt;=$D18+$F18-1),1,""))</f>
        <v/>
      </c>
      <c r="DF18" s="11" t="str">
        <f>IF(AND($C18="Goal",DF$7&gt;=$D18,DF$7&lt;=$D18+$F18-1),2,IF(AND($C18="Milestone",DF$7&gt;=$D18,DF$7&lt;=$D18+$F18-1),1,""))</f>
        <v/>
      </c>
    </row>
    <row r="19" spans="1:110" s="1" customFormat="1" ht="40.15" customHeight="1" x14ac:dyDescent="0.35">
      <c r="A19" s="4"/>
      <c r="B19" s="43" t="s">
        <v>14</v>
      </c>
      <c r="C19" s="13" t="s">
        <v>2</v>
      </c>
      <c r="D19" s="14">
        <v>45998</v>
      </c>
      <c r="E19" s="14">
        <f>Milestones4352[[#This Row],[Ínicio]]+Milestones4352[[#This Row],[Nº Dias]]-1</f>
        <v>46007</v>
      </c>
      <c r="F19" s="15">
        <v>10</v>
      </c>
      <c r="G19" s="13"/>
      <c r="H19" s="11" t="str">
        <f>IF(AND($C19="Goal",H$7&gt;=$D19,H$7&lt;=$D19+$F19-1),2,IF(AND($C19="Milestone",H$7&gt;=$D19,H$7&lt;=$D19+$F19-1),1,""))</f>
        <v/>
      </c>
      <c r="I19" s="11" t="str">
        <f>IF(AND($C19="Goal",I$7&gt;=$D19,I$7&lt;=$D19+$F19-1),2,IF(AND($C19="Milestone",I$7&gt;=$D19,I$7&lt;=$D19+$F19-1),1,""))</f>
        <v/>
      </c>
      <c r="J19" s="11" t="str">
        <f>IF(AND($C19="Goal",J$7&gt;=$D19,J$7&lt;=$D19+$F19-1),2,IF(AND($C19="Milestone",J$7&gt;=$D19,J$7&lt;=$D19+$F19-1),1,""))</f>
        <v/>
      </c>
      <c r="K19" s="11" t="str">
        <f>IF(AND($C19="Goal",K$7&gt;=$D19,K$7&lt;=$D19+$F19-1),2,IF(AND($C19="Milestone",K$7&gt;=$D19,K$7&lt;=$D19+$F19-1),1,""))</f>
        <v/>
      </c>
      <c r="L19" s="11" t="str">
        <f>IF(AND($C19="Goal",L$7&gt;=$D19,L$7&lt;=$D19+$F19-1),2,IF(AND($C19="Milestone",L$7&gt;=$D19,L$7&lt;=$D19+$F19-1),1,""))</f>
        <v/>
      </c>
      <c r="M19" s="11" t="str">
        <f>IF(AND($C19="Goal",M$7&gt;=$D19,M$7&lt;=$D19+$F19-1),2,IF(AND($C19="Milestone",M$7&gt;=$D19,M$7&lt;=$D19+$F19-1),1,""))</f>
        <v/>
      </c>
      <c r="N19" s="11" t="str">
        <f>IF(AND($C19="Goal",N$7&gt;=$D19,N$7&lt;=$D19+$F19-1),2,IF(AND($C19="Milestone",N$7&gt;=$D19,N$7&lt;=$D19+$F19-1),1,""))</f>
        <v/>
      </c>
      <c r="O19" s="11" t="str">
        <f>IF(AND($C19="Goal",O$7&gt;=$D19,O$7&lt;=$D19+$F19-1),2,IF(AND($C19="Milestone",O$7&gt;=$D19,O$7&lt;=$D19+$F19-1),1,""))</f>
        <v/>
      </c>
      <c r="P19" s="11" t="str">
        <f>IF(AND($C19="Goal",P$7&gt;=$D19,P$7&lt;=$D19+$F19-1),2,IF(AND($C19="Milestone",P$7&gt;=$D19,P$7&lt;=$D19+$F19-1),1,""))</f>
        <v/>
      </c>
      <c r="Q19" s="11" t="str">
        <f>IF(AND($C19="Goal",Q$7&gt;=$D19,Q$7&lt;=$D19+$F19-1),2,IF(AND($C19="Milestone",Q$7&gt;=$D19,Q$7&lt;=$D19+$F19-1),1,""))</f>
        <v/>
      </c>
      <c r="R19" s="11" t="str">
        <f>IF(AND($C19="Goal",R$7&gt;=$D19,R$7&lt;=$D19+$F19-1),2,IF(AND($C19="Milestone",R$7&gt;=$D19,R$7&lt;=$D19+$F19-1),1,""))</f>
        <v/>
      </c>
      <c r="S19" s="11" t="str">
        <f>IF(AND($C19="Goal",S$7&gt;=$D19,S$7&lt;=$D19+$F19-1),2,IF(AND($C19="Milestone",S$7&gt;=$D19,S$7&lt;=$D19+$F19-1),1,""))</f>
        <v/>
      </c>
      <c r="T19" s="11" t="str">
        <f>IF(AND($C19="Goal",T$7&gt;=$D19,T$7&lt;=$D19+$F19-1),2,IF(AND($C19="Milestone",T$7&gt;=$D19,T$7&lt;=$D19+$F19-1),1,""))</f>
        <v/>
      </c>
      <c r="U19" s="11" t="str">
        <f>IF(AND($C19="Goal",U$7&gt;=$D19,U$7&lt;=$D19+$F19-1),2,IF(AND($C19="Milestone",U$7&gt;=$D19,U$7&lt;=$D19+$F19-1),1,""))</f>
        <v/>
      </c>
      <c r="V19" s="11" t="str">
        <f>IF(AND($C19="Goal",V$7&gt;=$D19,V$7&lt;=$D19+$F19-1),2,IF(AND($C19="Milestone",V$7&gt;=$D19,V$7&lt;=$D19+$F19-1),1,""))</f>
        <v/>
      </c>
      <c r="W19" s="11" t="str">
        <f>IF(AND($C19="Goal",W$7&gt;=$D19,W$7&lt;=$D19+$F19-1),2,IF(AND($C19="Milestone",W$7&gt;=$D19,W$7&lt;=$D19+$F19-1),1,""))</f>
        <v/>
      </c>
      <c r="X19" s="11" t="str">
        <f>IF(AND($C19="Goal",X$7&gt;=$D19,X$7&lt;=$D19+$F19-1),2,IF(AND($C19="Milestone",X$7&gt;=$D19,X$7&lt;=$D19+$F19-1),1,""))</f>
        <v/>
      </c>
      <c r="Y19" s="11" t="str">
        <f>IF(AND($C19="Goal",Y$7&gt;=$D19,Y$7&lt;=$D19+$F19-1),2,IF(AND($C19="Milestone",Y$7&gt;=$D19,Y$7&lt;=$D19+$F19-1),1,""))</f>
        <v/>
      </c>
      <c r="Z19" s="11" t="str">
        <f>IF(AND($C19="Goal",Z$7&gt;=$D19,Z$7&lt;=$D19+$F19-1),2,IF(AND($C19="Milestone",Z$7&gt;=$D19,Z$7&lt;=$D19+$F19-1),1,""))</f>
        <v/>
      </c>
      <c r="AA19" s="11" t="str">
        <f>IF(AND($C19="Goal",AA$7&gt;=$D19,AA$7&lt;=$D19+$F19-1),2,IF(AND($C19="Milestone",AA$7&gt;=$D19,AA$7&lt;=$D19+$F19-1),1,""))</f>
        <v/>
      </c>
      <c r="AB19" s="11" t="str">
        <f>IF(AND($C19="Goal",AB$7&gt;=$D19,AB$7&lt;=$D19+$F19-1),2,IF(AND($C19="Milestone",AB$7&gt;=$D19,AB$7&lt;=$D19+$F19-1),1,""))</f>
        <v/>
      </c>
      <c r="AC19" s="11" t="str">
        <f>IF(AND($C19="Goal",AC$7&gt;=$D19,AC$7&lt;=$D19+$F19-1),2,IF(AND($C19="Milestone",AC$7&gt;=$D19,AC$7&lt;=$D19+$F19-1),1,""))</f>
        <v/>
      </c>
      <c r="AD19" s="11" t="str">
        <f>IF(AND($C19="Goal",AD$7&gt;=$D19,AD$7&lt;=$D19+$F19-1),2,IF(AND($C19="Milestone",AD$7&gt;=$D19,AD$7&lt;=$D19+$F19-1),1,""))</f>
        <v/>
      </c>
      <c r="AE19" s="11" t="str">
        <f>IF(AND($C19="Goal",AE$7&gt;=$D19,AE$7&lt;=$D19+$F19-1),2,IF(AND($C19="Milestone",AE$7&gt;=$D19,AE$7&lt;=$D19+$F19-1),1,""))</f>
        <v/>
      </c>
      <c r="AF19" s="11" t="str">
        <f>IF(AND($C19="Goal",AF$7&gt;=$D19,AF$7&lt;=$D19+$F19-1),2,IF(AND($C19="Milestone",AF$7&gt;=$D19,AF$7&lt;=$D19+$F19-1),1,""))</f>
        <v/>
      </c>
      <c r="AG19" s="11" t="str">
        <f>IF(AND($C19="Goal",AG$7&gt;=$D19,AG$7&lt;=$D19+$F19-1),2,IF(AND($C19="Milestone",AG$7&gt;=$D19,AG$7&lt;=$D19+$F19-1),1,""))</f>
        <v/>
      </c>
      <c r="AH19" s="11" t="str">
        <f>IF(AND($C19="Goal",AH$7&gt;=$D19,AH$7&lt;=$D19+$F19-1),2,IF(AND($C19="Milestone",AH$7&gt;=$D19,AH$7&lt;=$D19+$F19-1),1,""))</f>
        <v/>
      </c>
      <c r="AI19" s="11" t="str">
        <f>IF(AND($C19="Goal",AI$7&gt;=$D19,AI$7&lt;=$D19+$F19-1),2,IF(AND($C19="Milestone",AI$7&gt;=$D19,AI$7&lt;=$D19+$F19-1),1,""))</f>
        <v/>
      </c>
      <c r="AJ19" s="11" t="str">
        <f>IF(AND($C19="Goal",AJ$7&gt;=$D19,AJ$7&lt;=$D19+$F19-1),2,IF(AND($C19="Milestone",AJ$7&gt;=$D19,AJ$7&lt;=$D19+$F19-1),1,""))</f>
        <v/>
      </c>
      <c r="AK19" s="11" t="str">
        <f>IF(AND($C19="Goal",AK$7&gt;=$D19,AK$7&lt;=$D19+$F19-1),2,IF(AND($C19="Milestone",AK$7&gt;=$D19,AK$7&lt;=$D19+$F19-1),1,""))</f>
        <v/>
      </c>
      <c r="AL19" s="11" t="str">
        <f>IF(AND($C19="Goal",AL$7&gt;=$D19,AL$7&lt;=$D19+$F19-1),2,IF(AND($C19="Milestone",AL$7&gt;=$D19,AL$7&lt;=$D19+$F19-1),1,""))</f>
        <v/>
      </c>
      <c r="AM19" s="11" t="str">
        <f>IF(AND($C19="Goal",AM$7&gt;=$D19,AM$7&lt;=$D19+$F19-1),2,IF(AND($C19="Milestone",AM$7&gt;=$D19,AM$7&lt;=$D19+$F19-1),1,""))</f>
        <v/>
      </c>
      <c r="AN19" s="11" t="str">
        <f>IF(AND($C19="Goal",AN$7&gt;=$D19,AN$7&lt;=$D19+$F19-1),2,IF(AND($C19="Milestone",AN$7&gt;=$D19,AN$7&lt;=$D19+$F19-1),1,""))</f>
        <v/>
      </c>
      <c r="AO19" s="11" t="str">
        <f>IF(AND($C19="Goal",AO$7&gt;=$D19,AO$7&lt;=$D19+$F19-1),2,IF(AND($C19="Milestone",AO$7&gt;=$D19,AO$7&lt;=$D19+$F19-1),1,""))</f>
        <v/>
      </c>
      <c r="AP19" s="11" t="str">
        <f>IF(AND($C19="Goal",AP$7&gt;=$D19,AP$7&lt;=$D19+$F19-1),2,IF(AND($C19="Milestone",AP$7&gt;=$D19,AP$7&lt;=$D19+$F19-1),1,""))</f>
        <v/>
      </c>
      <c r="AQ19" s="11" t="str">
        <f>IF(AND($C19="Goal",AQ$7&gt;=$D19,AQ$7&lt;=$D19+$F19-1),2,IF(AND($C19="Milestone",AQ$7&gt;=$D19,AQ$7&lt;=$D19+$F19-1),1,""))</f>
        <v/>
      </c>
      <c r="AR19" s="11" t="str">
        <f>IF(AND($C19="Goal",AR$7&gt;=$D19,AR$7&lt;=$D19+$F19-1),2,IF(AND($C19="Milestone",AR$7&gt;=$D19,AR$7&lt;=$D19+$F19-1),1,""))</f>
        <v/>
      </c>
      <c r="AS19" s="11" t="str">
        <f>IF(AND($C19="Goal",AS$7&gt;=$D19,AS$7&lt;=$D19+$F19-1),2,IF(AND($C19="Milestone",AS$7&gt;=$D19,AS$7&lt;=$D19+$F19-1),1,""))</f>
        <v/>
      </c>
      <c r="AT19" s="11" t="str">
        <f>IF(AND($C19="Goal",AT$7&gt;=$D19,AT$7&lt;=$D19+$F19-1),2,IF(AND($C19="Milestone",AT$7&gt;=$D19,AT$7&lt;=$D19+$F19-1),1,""))</f>
        <v/>
      </c>
      <c r="AU19" s="11" t="str">
        <f>IF(AND($C19="Goal",AU$7&gt;=$D19,AU$7&lt;=$D19+$F19-1),2,IF(AND($C19="Milestone",AU$7&gt;=$D19,AU$7&lt;=$D19+$F19-1),1,""))</f>
        <v/>
      </c>
      <c r="AV19" s="11" t="str">
        <f>IF(AND($C19="Goal",AV$7&gt;=$D19,AV$7&lt;=$D19+$F19-1),2,IF(AND($C19="Milestone",AV$7&gt;=$D19,AV$7&lt;=$D19+$F19-1),1,""))</f>
        <v/>
      </c>
      <c r="AW19" s="11" t="str">
        <f>IF(AND($C19="Goal",AW$7&gt;=$D19,AW$7&lt;=$D19+$F19-1),2,IF(AND($C19="Milestone",AW$7&gt;=$D19,AW$7&lt;=$D19+$F19-1),1,""))</f>
        <v/>
      </c>
      <c r="AX19" s="11" t="str">
        <f>IF(AND($C19="Goal",AX$7&gt;=$D19,AX$7&lt;=$D19+$F19-1),2,IF(AND($C19="Milestone",AX$7&gt;=$D19,AX$7&lt;=$D19+$F19-1),1,""))</f>
        <v/>
      </c>
      <c r="AY19" s="11" t="str">
        <f>IF(AND($C19="Goal",AY$7&gt;=$D19,AY$7&lt;=$D19+$F19-1),2,IF(AND($C19="Milestone",AY$7&gt;=$D19,AY$7&lt;=$D19+$F19-1),1,""))</f>
        <v/>
      </c>
      <c r="AZ19" s="11" t="str">
        <f>IF(AND($C19="Goal",AZ$7&gt;=$D19,AZ$7&lt;=$D19+$F19-1),2,IF(AND($C19="Milestone",AZ$7&gt;=$D19,AZ$7&lt;=$D19+$F19-1),1,""))</f>
        <v/>
      </c>
      <c r="BA19" s="11" t="str">
        <f>IF(AND($C19="Goal",BA$7&gt;=$D19,BA$7&lt;=$D19+$F19-1),2,IF(AND($C19="Milestone",BA$7&gt;=$D19,BA$7&lt;=$D19+$F19-1),1,""))</f>
        <v/>
      </c>
      <c r="BB19" s="11" t="str">
        <f>IF(AND($C19="Goal",BB$7&gt;=$D19,BB$7&lt;=$D19+$F19-1),2,IF(AND($C19="Milestone",BB$7&gt;=$D19,BB$7&lt;=$D19+$F19-1),1,""))</f>
        <v/>
      </c>
      <c r="BC19" s="11" t="str">
        <f>IF(AND($C19="Goal",BC$7&gt;=$D19,BC$7&lt;=$D19+$F19-1),2,IF(AND($C19="Milestone",BC$7&gt;=$D19,BC$7&lt;=$D19+$F19-1),1,""))</f>
        <v/>
      </c>
      <c r="BD19" s="11" t="str">
        <f>IF(AND($C19="Goal",BD$7&gt;=$D19,BD$7&lt;=$D19+$F19-1),2,IF(AND($C19="Milestone",BD$7&gt;=$D19,BD$7&lt;=$D19+$F19-1),1,""))</f>
        <v/>
      </c>
      <c r="BE19" s="11" t="str">
        <f>IF(AND($C19="Goal",BE$7&gt;=$D19,BE$7&lt;=$D19+$F19-1),2,IF(AND($C19="Milestone",BE$7&gt;=$D19,BE$7&lt;=$D19+$F19-1),1,""))</f>
        <v/>
      </c>
      <c r="BF19" s="11" t="str">
        <f>IF(AND($C19="Goal",BF$7&gt;=$D19,BF$7&lt;=$D19+$F19-1),2,IF(AND($C19="Milestone",BF$7&gt;=$D19,BF$7&lt;=$D19+$F19-1),1,""))</f>
        <v/>
      </c>
      <c r="BG19" s="11" t="str">
        <f>IF(AND($C19="Goal",BG$7&gt;=$D19,BG$7&lt;=$D19+$F19-1),2,IF(AND($C19="Milestone",BG$7&gt;=$D19,BG$7&lt;=$D19+$F19-1),1,""))</f>
        <v/>
      </c>
      <c r="BH19" s="11" t="str">
        <f>IF(AND($C19="Goal",BH$7&gt;=$D19,BH$7&lt;=$D19+$F19-1),2,IF(AND($C19="Milestone",BH$7&gt;=$D19,BH$7&lt;=$D19+$F19-1),1,""))</f>
        <v/>
      </c>
      <c r="BI19" s="11" t="str">
        <f>IF(AND($C19="Goal",BI$7&gt;=$D19,BI$7&lt;=$D19+$F19-1),2,IF(AND($C19="Milestone",BI$7&gt;=$D19,BI$7&lt;=$D19+$F19-1),1,""))</f>
        <v/>
      </c>
      <c r="BJ19" s="11" t="str">
        <f>IF(AND($C19="Goal",BJ$7&gt;=$D19,BJ$7&lt;=$D19+$F19-1),2,IF(AND($C19="Milestone",BJ$7&gt;=$D19,BJ$7&lt;=$D19+$F19-1),1,""))</f>
        <v/>
      </c>
      <c r="BK19" s="11" t="str">
        <f>IF(AND($C19="Goal",BK$7&gt;=$D19,BK$7&lt;=$D19+$F19-1),2,IF(AND($C19="Milestone",BK$7&gt;=$D19,BK$7&lt;=$D19+$F19-1),1,""))</f>
        <v/>
      </c>
      <c r="BL19" s="11" t="str">
        <f>IF(AND($C19="Goal",BL$7&gt;=$D19,BL$7&lt;=$D19+$F19-1),2,IF(AND($C19="Milestone",BL$7&gt;=$D19,BL$7&lt;=$D19+$F19-1),1,""))</f>
        <v/>
      </c>
      <c r="BM19" s="11" t="str">
        <f>IF(AND($C19="Goal",BM$7&gt;=$D19,BM$7&lt;=$D19+$F19-1),2,IF(AND($C19="Milestone",BM$7&gt;=$D19,BM$7&lt;=$D19+$F19-1),1,""))</f>
        <v/>
      </c>
      <c r="BN19" s="11" t="str">
        <f>IF(AND($C19="Goal",BN$7&gt;=$D19,BN$7&lt;=$D19+$F19-1),2,IF(AND($C19="Milestone",BN$7&gt;=$D19,BN$7&lt;=$D19+$F19-1),1,""))</f>
        <v/>
      </c>
      <c r="BO19" s="11" t="str">
        <f>IF(AND($C19="Goal",BO$7&gt;=$D19,BO$7&lt;=$D19+$F19-1),2,IF(AND($C19="Milestone",BO$7&gt;=$D19,BO$7&lt;=$D19+$F19-1),1,""))</f>
        <v/>
      </c>
      <c r="BP19" s="11" t="str">
        <f>IF(AND($C19="Goal",BP$7&gt;=$D19,BP$7&lt;=$D19+$F19-1),2,IF(AND($C19="Milestone",BP$7&gt;=$D19,BP$7&lt;=$D19+$F19-1),1,""))</f>
        <v/>
      </c>
      <c r="BQ19" s="11" t="str">
        <f>IF(AND($C19="Goal",BQ$7&gt;=$D19,BQ$7&lt;=$D19+$F19-1),2,IF(AND($C19="Milestone",BQ$7&gt;=$D19,BQ$7&lt;=$D19+$F19-1),1,""))</f>
        <v/>
      </c>
      <c r="BR19" s="11" t="str">
        <f>IF(AND($C19="Goal",BR$7&gt;=$D19,BR$7&lt;=$D19+$F19-1),2,IF(AND($C19="Milestone",BR$7&gt;=$D19,BR$7&lt;=$D19+$F19-1),1,""))</f>
        <v/>
      </c>
      <c r="BS19" s="11" t="str">
        <f>IF(AND($C19="Goal",BS$7&gt;=$D19,BS$7&lt;=$D19+$F19-1),2,IF(AND($C19="Milestone",BS$7&gt;=$D19,BS$7&lt;=$D19+$F19-1),1,""))</f>
        <v/>
      </c>
      <c r="BT19" s="11" t="str">
        <f>IF(AND($C19="Goal",BT$7&gt;=$D19,BT$7&lt;=$D19+$F19-1),2,IF(AND($C19="Milestone",BT$7&gt;=$D19,BT$7&lt;=$D19+$F19-1),1,""))</f>
        <v/>
      </c>
      <c r="BU19" s="11" t="str">
        <f>IF(AND($C19="Goal",BU$7&gt;=$D19,BU$7&lt;=$D19+$F19-1),2,IF(AND($C19="Milestone",BU$7&gt;=$D19,BU$7&lt;=$D19+$F19-1),1,""))</f>
        <v/>
      </c>
      <c r="BV19" s="11" t="str">
        <f>IF(AND($C19="Goal",BV$7&gt;=$D19,BV$7&lt;=$D19+$F19-1),2,IF(AND($C19="Milestone",BV$7&gt;=$D19,BV$7&lt;=$D19+$F19-1),1,""))</f>
        <v/>
      </c>
      <c r="BW19" s="11" t="str">
        <f>IF(AND($C19="Goal",BW$7&gt;=$D19,BW$7&lt;=$D19+$F19-1),2,IF(AND($C19="Milestone",BW$7&gt;=$D19,BW$7&lt;=$D19+$F19-1),1,""))</f>
        <v/>
      </c>
      <c r="BX19" s="11" t="str">
        <f>IF(AND($C19="Goal",BX$7&gt;=$D19,BX$7&lt;=$D19+$F19-1),2,IF(AND($C19="Milestone",BX$7&gt;=$D19,BX$7&lt;=$D19+$F19-1),1,""))</f>
        <v/>
      </c>
      <c r="BY19" s="11" t="str">
        <f>IF(AND($C19="Goal",BY$7&gt;=$D19,BY$7&lt;=$D19+$F19-1),2,IF(AND($C19="Milestone",BY$7&gt;=$D19,BY$7&lt;=$D19+$F19-1),1,""))</f>
        <v/>
      </c>
      <c r="BZ19" s="11" t="str">
        <f>IF(AND($C19="Goal",BZ$7&gt;=$D19,BZ$7&lt;=$D19+$F19-1),2,IF(AND($C19="Milestone",BZ$7&gt;=$D19,BZ$7&lt;=$D19+$F19-1),1,""))</f>
        <v/>
      </c>
      <c r="CA19" s="11" t="str">
        <f>IF(AND($C19="Goal",CA$7&gt;=$D19,CA$7&lt;=$D19+$F19-1),2,IF(AND($C19="Milestone",CA$7&gt;=$D19,CA$7&lt;=$D19+$F19-1),1,""))</f>
        <v/>
      </c>
      <c r="CB19" s="11" t="str">
        <f>IF(AND($C19="Goal",CB$7&gt;=$D19,CB$7&lt;=$D19+$F19-1),2,IF(AND($C19="Milestone",CB$7&gt;=$D19,CB$7&lt;=$D19+$F19-1),1,""))</f>
        <v/>
      </c>
      <c r="CC19" s="11" t="str">
        <f>IF(AND($C19="Goal",CC$7&gt;=$D19,CC$7&lt;=$D19+$F19-1),2,IF(AND($C19="Milestone",CC$7&gt;=$D19,CC$7&lt;=$D19+$F19-1),1,""))</f>
        <v/>
      </c>
      <c r="CD19" s="11" t="str">
        <f>IF(AND($C19="Goal",CD$7&gt;=$D19,CD$7&lt;=$D19+$F19-1),2,IF(AND($C19="Milestone",CD$7&gt;=$D19,CD$7&lt;=$D19+$F19-1),1,""))</f>
        <v/>
      </c>
      <c r="CE19" s="11" t="str">
        <f>IF(AND($C19="Goal",CE$7&gt;=$D19,CE$7&lt;=$D19+$F19-1),2,IF(AND($C19="Milestone",CE$7&gt;=$D19,CE$7&lt;=$D19+$F19-1),1,""))</f>
        <v/>
      </c>
      <c r="CF19" s="11" t="str">
        <f>IF(AND($C19="Goal",CF$7&gt;=$D19,CF$7&lt;=$D19+$F19-1),2,IF(AND($C19="Milestone",CF$7&gt;=$D19,CF$7&lt;=$D19+$F19-1),1,""))</f>
        <v/>
      </c>
      <c r="CG19" s="11" t="str">
        <f>IF(AND($C19="Goal",CG$7&gt;=$D19,CG$7&lt;=$D19+$F19-1),2,IF(AND($C19="Milestone",CG$7&gt;=$D19,CG$7&lt;=$D19+$F19-1),1,""))</f>
        <v/>
      </c>
      <c r="CH19" s="11" t="str">
        <f>IF(AND($C19="Goal",CH$7&gt;=$D19,CH$7&lt;=$D19+$F19-1),2,IF(AND($C19="Milestone",CH$7&gt;=$D19,CH$7&lt;=$D19+$F19-1),1,""))</f>
        <v/>
      </c>
      <c r="CI19" s="11" t="str">
        <f>IF(AND($C19="Goal",CI$7&gt;=$D19,CI$7&lt;=$D19+$F19-1),2,IF(AND($C19="Milestone",CI$7&gt;=$D19,CI$7&lt;=$D19+$F19-1),1,""))</f>
        <v/>
      </c>
      <c r="CJ19" s="11" t="str">
        <f>IF(AND($C19="Goal",CJ$7&gt;=$D19,CJ$7&lt;=$D19+$F19-1),2,IF(AND($C19="Milestone",CJ$7&gt;=$D19,CJ$7&lt;=$D19+$F19-1),1,""))</f>
        <v/>
      </c>
      <c r="CK19" s="11" t="str">
        <f>IF(AND($C19="Goal",CK$7&gt;=$D19,CK$7&lt;=$D19+$F19-1),2,IF(AND($C19="Milestone",CK$7&gt;=$D19,CK$7&lt;=$D19+$F19-1),1,""))</f>
        <v/>
      </c>
      <c r="CL19" s="11" t="str">
        <f>IF(AND($C19="Goal",CL$7&gt;=$D19,CL$7&lt;=$D19+$F19-1),2,IF(AND($C19="Milestone",CL$7&gt;=$D19,CL$7&lt;=$D19+$F19-1),1,""))</f>
        <v/>
      </c>
      <c r="CM19" s="11" t="str">
        <f>IF(AND($C19="Goal",CM$7&gt;=$D19,CM$7&lt;=$D19+$F19-1),2,IF(AND($C19="Milestone",CM$7&gt;=$D19,CM$7&lt;=$D19+$F19-1),1,""))</f>
        <v/>
      </c>
      <c r="CN19" s="11" t="str">
        <f>IF(AND($C19="Goal",CN$7&gt;=$D19,CN$7&lt;=$D19+$F19-1),2,IF(AND($C19="Milestone",CN$7&gt;=$D19,CN$7&lt;=$D19+$F19-1),1,""))</f>
        <v/>
      </c>
      <c r="CO19" s="11" t="str">
        <f>IF(AND($C19="Goal",CO$7&gt;=$D19,CO$7&lt;=$D19+$F19-1),2,IF(AND($C19="Milestone",CO$7&gt;=$D19,CO$7&lt;=$D19+$F19-1),1,""))</f>
        <v/>
      </c>
      <c r="CP19" s="11" t="str">
        <f>IF(AND($C19="Goal",CP$7&gt;=$D19,CP$7&lt;=$D19+$F19-1),2,IF(AND($C19="Milestone",CP$7&gt;=$D19,CP$7&lt;=$D19+$F19-1),1,""))</f>
        <v/>
      </c>
      <c r="CQ19" s="11" t="str">
        <f>IF(AND($C19="Goal",CQ$7&gt;=$D19,CQ$7&lt;=$D19+$F19-1),2,IF(AND($C19="Milestone",CQ$7&gt;=$D19,CQ$7&lt;=$D19+$F19-1),1,""))</f>
        <v/>
      </c>
      <c r="CR19" s="11" t="str">
        <f>IF(AND($C19="Goal",CR$7&gt;=$D19,CR$7&lt;=$D19+$F19-1),2,IF(AND($C19="Milestone",CR$7&gt;=$D19,CR$7&lt;=$D19+$F19-1),1,""))</f>
        <v/>
      </c>
      <c r="CS19" s="11" t="str">
        <f>IF(AND($C19="Goal",CS$7&gt;=$D19,CS$7&lt;=$D19+$F19-1),2,IF(AND($C19="Milestone",CS$7&gt;=$D19,CS$7&lt;=$D19+$F19-1),1,""))</f>
        <v/>
      </c>
      <c r="CT19" s="11" t="str">
        <f>IF(AND($C19="Goal",CT$7&gt;=$D19,CT$7&lt;=$D19+$F19-1),2,IF(AND($C19="Milestone",CT$7&gt;=$D19,CT$7&lt;=$D19+$F19-1),1,""))</f>
        <v/>
      </c>
      <c r="CU19" s="11" t="str">
        <f>IF(AND($C19="Goal",CU$7&gt;=$D19,CU$7&lt;=$D19+$F19-1),2,IF(AND($C19="Milestone",CU$7&gt;=$D19,CU$7&lt;=$D19+$F19-1),1,""))</f>
        <v/>
      </c>
      <c r="CV19" s="11" t="str">
        <f>IF(AND($C19="Goal",CV$7&gt;=$D19,CV$7&lt;=$D19+$F19-1),2,IF(AND($C19="Milestone",CV$7&gt;=$D19,CV$7&lt;=$D19+$F19-1),1,""))</f>
        <v/>
      </c>
      <c r="CW19" s="11" t="str">
        <f>IF(AND($C19="Goal",CW$7&gt;=$D19,CW$7&lt;=$D19+$F19-1),2,IF(AND($C19="Milestone",CW$7&gt;=$D19,CW$7&lt;=$D19+$F19-1),1,""))</f>
        <v/>
      </c>
      <c r="CX19" s="11" t="str">
        <f>IF(AND($C19="Goal",CX$7&gt;=$D19,CX$7&lt;=$D19+$F19-1),2,IF(AND($C19="Milestone",CX$7&gt;=$D19,CX$7&lt;=$D19+$F19-1),1,""))</f>
        <v/>
      </c>
      <c r="CY19" s="11" t="str">
        <f>IF(AND($C19="Goal",CY$7&gt;=$D19,CY$7&lt;=$D19+$F19-1),2,IF(AND($C19="Milestone",CY$7&gt;=$D19,CY$7&lt;=$D19+$F19-1),1,""))</f>
        <v/>
      </c>
      <c r="CZ19" s="11" t="str">
        <f>IF(AND($C19="Goal",CZ$7&gt;=$D19,CZ$7&lt;=$D19+$F19-1),2,IF(AND($C19="Milestone",CZ$7&gt;=$D19,CZ$7&lt;=$D19+$F19-1),1,""))</f>
        <v/>
      </c>
      <c r="DA19" s="11" t="str">
        <f>IF(AND($C19="Goal",DA$7&gt;=$D19,DA$7&lt;=$D19+$F19-1),2,IF(AND($C19="Milestone",DA$7&gt;=$D19,DA$7&lt;=$D19+$F19-1),1,""))</f>
        <v/>
      </c>
      <c r="DB19" s="11" t="str">
        <f>IF(AND($C19="Goal",DB$7&gt;=$D19,DB$7&lt;=$D19+$F19-1),2,IF(AND($C19="Milestone",DB$7&gt;=$D19,DB$7&lt;=$D19+$F19-1),1,""))</f>
        <v/>
      </c>
      <c r="DC19" s="11" t="str">
        <f>IF(AND($C19="Goal",DC$7&gt;=$D19,DC$7&lt;=$D19+$F19-1),2,IF(AND($C19="Milestone",DC$7&gt;=$D19,DC$7&lt;=$D19+$F19-1),1,""))</f>
        <v/>
      </c>
      <c r="DD19" s="11" t="str">
        <f>IF(AND($C19="Goal",DD$7&gt;=$D19,DD$7&lt;=$D19+$F19-1),2,IF(AND($C19="Milestone",DD$7&gt;=$D19,DD$7&lt;=$D19+$F19-1),1,""))</f>
        <v/>
      </c>
      <c r="DE19" s="11" t="str">
        <f>IF(AND($C19="Goal",DE$7&gt;=$D19,DE$7&lt;=$D19+$F19-1),2,IF(AND($C19="Milestone",DE$7&gt;=$D19,DE$7&lt;=$D19+$F19-1),1,""))</f>
        <v/>
      </c>
      <c r="DF19" s="11" t="str">
        <f>IF(AND($C19="Goal",DF$7&gt;=$D19,DF$7&lt;=$D19+$F19-1),2,IF(AND($C19="Milestone",DF$7&gt;=$D19,DF$7&lt;=$D19+$F19-1),1,""))</f>
        <v/>
      </c>
    </row>
    <row r="20" spans="1:110" s="1" customFormat="1" ht="40.15" customHeight="1" x14ac:dyDescent="0.35">
      <c r="A20" s="4"/>
      <c r="B20" s="42" t="s">
        <v>21</v>
      </c>
      <c r="C20" s="13" t="s">
        <v>1</v>
      </c>
      <c r="D20" s="46">
        <v>46059</v>
      </c>
      <c r="E20" s="14">
        <f>Milestones4352[[#This Row],[Ínicio]]+Milestones4352[[#This Row],[Nº Dias]]-1</f>
        <v>46059</v>
      </c>
      <c r="F20" s="47">
        <v>1</v>
      </c>
      <c r="G20" s="13"/>
      <c r="H20" s="11" t="str">
        <f>IF(AND($C20="Goal",H$7&gt;=$D20,H$7&lt;=$D20+$F20-1),2,IF(AND($C20="Milestone",H$7&gt;=$D20,H$7&lt;=$D20+$F20-1),1,""))</f>
        <v/>
      </c>
      <c r="I20" s="11" t="str">
        <f>IF(AND($C20="Goal",I$7&gt;=$D20,I$7&lt;=$D20+$F20-1),2,IF(AND($C20="Milestone",I$7&gt;=$D20,I$7&lt;=$D20+$F20-1),1,""))</f>
        <v/>
      </c>
      <c r="J20" s="11" t="str">
        <f>IF(AND($C20="Goal",J$7&gt;=$D20,J$7&lt;=$D20+$F20-1),2,IF(AND($C20="Milestone",J$7&gt;=$D20,J$7&lt;=$D20+$F20-1),1,""))</f>
        <v/>
      </c>
      <c r="K20" s="11" t="str">
        <f>IF(AND($C20="Goal",K$7&gt;=$D20,K$7&lt;=$D20+$F20-1),2,IF(AND($C20="Milestone",K$7&gt;=$D20,K$7&lt;=$D20+$F20-1),1,""))</f>
        <v/>
      </c>
      <c r="L20" s="11" t="str">
        <f>IF(AND($C20="Goal",L$7&gt;=$D20,L$7&lt;=$D20+$F20-1),2,IF(AND($C20="Milestone",L$7&gt;=$D20,L$7&lt;=$D20+$F20-1),1,""))</f>
        <v/>
      </c>
      <c r="M20" s="11" t="str">
        <f>IF(AND($C20="Goal",M$7&gt;=$D20,M$7&lt;=$D20+$F20-1),2,IF(AND($C20="Milestone",M$7&gt;=$D20,M$7&lt;=$D20+$F20-1),1,""))</f>
        <v/>
      </c>
      <c r="N20" s="11" t="str">
        <f>IF(AND($C20="Goal",N$7&gt;=$D20,N$7&lt;=$D20+$F20-1),2,IF(AND($C20="Milestone",N$7&gt;=$D20,N$7&lt;=$D20+$F20-1),1,""))</f>
        <v/>
      </c>
      <c r="O20" s="11" t="str">
        <f>IF(AND($C20="Goal",O$7&gt;=$D20,O$7&lt;=$D20+$F20-1),2,IF(AND($C20="Milestone",O$7&gt;=$D20,O$7&lt;=$D20+$F20-1),1,""))</f>
        <v/>
      </c>
      <c r="P20" s="11" t="str">
        <f>IF(AND($C20="Goal",P$7&gt;=$D20,P$7&lt;=$D20+$F20-1),2,IF(AND($C20="Milestone",P$7&gt;=$D20,P$7&lt;=$D20+$F20-1),1,""))</f>
        <v/>
      </c>
      <c r="Q20" s="11" t="str">
        <f>IF(AND($C20="Goal",Q$7&gt;=$D20,Q$7&lt;=$D20+$F20-1),2,IF(AND($C20="Milestone",Q$7&gt;=$D20,Q$7&lt;=$D20+$F20-1),1,""))</f>
        <v/>
      </c>
      <c r="R20" s="11" t="str">
        <f>IF(AND($C20="Goal",R$7&gt;=$D20,R$7&lt;=$D20+$F20-1),2,IF(AND($C20="Milestone",R$7&gt;=$D20,R$7&lt;=$D20+$F20-1),1,""))</f>
        <v/>
      </c>
      <c r="S20" s="11" t="str">
        <f>IF(AND($C20="Goal",S$7&gt;=$D20,S$7&lt;=$D20+$F20-1),2,IF(AND($C20="Milestone",S$7&gt;=$D20,S$7&lt;=$D20+$F20-1),1,""))</f>
        <v/>
      </c>
      <c r="T20" s="11" t="str">
        <f>IF(AND($C20="Goal",T$7&gt;=$D20,T$7&lt;=$D20+$F20-1),2,IF(AND($C20="Milestone",T$7&gt;=$D20,T$7&lt;=$D20+$F20-1),1,""))</f>
        <v/>
      </c>
      <c r="U20" s="11" t="str">
        <f>IF(AND($C20="Goal",U$7&gt;=$D20,U$7&lt;=$D20+$F20-1),2,IF(AND($C20="Milestone",U$7&gt;=$D20,U$7&lt;=$D20+$F20-1),1,""))</f>
        <v/>
      </c>
      <c r="V20" s="11" t="str">
        <f>IF(AND($C20="Goal",V$7&gt;=$D20,V$7&lt;=$D20+$F20-1),2,IF(AND($C20="Milestone",V$7&gt;=$D20,V$7&lt;=$D20+$F20-1),1,""))</f>
        <v/>
      </c>
      <c r="W20" s="11" t="str">
        <f>IF(AND($C20="Goal",W$7&gt;=$D20,W$7&lt;=$D20+$F20-1),2,IF(AND($C20="Milestone",W$7&gt;=$D20,W$7&lt;=$D20+$F20-1),1,""))</f>
        <v/>
      </c>
      <c r="X20" s="11" t="str">
        <f>IF(AND($C20="Goal",X$7&gt;=$D20,X$7&lt;=$D20+$F20-1),2,IF(AND($C20="Milestone",X$7&gt;=$D20,X$7&lt;=$D20+$F20-1),1,""))</f>
        <v/>
      </c>
      <c r="Y20" s="11" t="str">
        <f>IF(AND($C20="Goal",Y$7&gt;=$D20,Y$7&lt;=$D20+$F20-1),2,IF(AND($C20="Milestone",Y$7&gt;=$D20,Y$7&lt;=$D20+$F20-1),1,""))</f>
        <v/>
      </c>
      <c r="Z20" s="11" t="str">
        <f>IF(AND($C20="Goal",Z$7&gt;=$D20,Z$7&lt;=$D20+$F20-1),2,IF(AND($C20="Milestone",Z$7&gt;=$D20,Z$7&lt;=$D20+$F20-1),1,""))</f>
        <v/>
      </c>
      <c r="AA20" s="11" t="str">
        <f>IF(AND($C20="Goal",AA$7&gt;=$D20,AA$7&lt;=$D20+$F20-1),2,IF(AND($C20="Milestone",AA$7&gt;=$D20,AA$7&lt;=$D20+$F20-1),1,""))</f>
        <v/>
      </c>
      <c r="AB20" s="11" t="str">
        <f>IF(AND($C20="Goal",AB$7&gt;=$D20,AB$7&lt;=$D20+$F20-1),2,IF(AND($C20="Milestone",AB$7&gt;=$D20,AB$7&lt;=$D20+$F20-1),1,""))</f>
        <v/>
      </c>
      <c r="AC20" s="11" t="str">
        <f>IF(AND($C20="Goal",AC$7&gt;=$D20,AC$7&lt;=$D20+$F20-1),2,IF(AND($C20="Milestone",AC$7&gt;=$D20,AC$7&lt;=$D20+$F20-1),1,""))</f>
        <v/>
      </c>
      <c r="AD20" s="11" t="str">
        <f>IF(AND($C20="Goal",AD$7&gt;=$D20,AD$7&lt;=$D20+$F20-1),2,IF(AND($C20="Milestone",AD$7&gt;=$D20,AD$7&lt;=$D20+$F20-1),1,""))</f>
        <v/>
      </c>
      <c r="AE20" s="11" t="str">
        <f>IF(AND($C20="Goal",AE$7&gt;=$D20,AE$7&lt;=$D20+$F20-1),2,IF(AND($C20="Milestone",AE$7&gt;=$D20,AE$7&lt;=$D20+$F20-1),1,""))</f>
        <v/>
      </c>
      <c r="AF20" s="11" t="str">
        <f>IF(AND($C20="Goal",AF$7&gt;=$D20,AF$7&lt;=$D20+$F20-1),2,IF(AND($C20="Milestone",AF$7&gt;=$D20,AF$7&lt;=$D20+$F20-1),1,""))</f>
        <v/>
      </c>
      <c r="AG20" s="11" t="str">
        <f>IF(AND($C20="Goal",AG$7&gt;=$D20,AG$7&lt;=$D20+$F20-1),2,IF(AND($C20="Milestone",AG$7&gt;=$D20,AG$7&lt;=$D20+$F20-1),1,""))</f>
        <v/>
      </c>
      <c r="AH20" s="11" t="str">
        <f>IF(AND($C20="Goal",AH$7&gt;=$D20,AH$7&lt;=$D20+$F20-1),2,IF(AND($C20="Milestone",AH$7&gt;=$D20,AH$7&lt;=$D20+$F20-1),1,""))</f>
        <v/>
      </c>
      <c r="AI20" s="11" t="str">
        <f>IF(AND($C20="Goal",AI$7&gt;=$D20,AI$7&lt;=$D20+$F20-1),2,IF(AND($C20="Milestone",AI$7&gt;=$D20,AI$7&lt;=$D20+$F20-1),1,""))</f>
        <v/>
      </c>
      <c r="AJ20" s="11" t="str">
        <f>IF(AND($C20="Goal",AJ$7&gt;=$D20,AJ$7&lt;=$D20+$F20-1),2,IF(AND($C20="Milestone",AJ$7&gt;=$D20,AJ$7&lt;=$D20+$F20-1),1,""))</f>
        <v/>
      </c>
      <c r="AK20" s="11" t="str">
        <f>IF(AND($C20="Goal",AK$7&gt;=$D20,AK$7&lt;=$D20+$F20-1),2,IF(AND($C20="Milestone",AK$7&gt;=$D20,AK$7&lt;=$D20+$F20-1),1,""))</f>
        <v/>
      </c>
      <c r="AL20" s="11" t="str">
        <f>IF(AND($C20="Goal",AL$7&gt;=$D20,AL$7&lt;=$D20+$F20-1),2,IF(AND($C20="Milestone",AL$7&gt;=$D20,AL$7&lt;=$D20+$F20-1),1,""))</f>
        <v/>
      </c>
      <c r="AM20" s="11" t="str">
        <f>IF(AND($C20="Goal",AM$7&gt;=$D20,AM$7&lt;=$D20+$F20-1),2,IF(AND($C20="Milestone",AM$7&gt;=$D20,AM$7&lt;=$D20+$F20-1),1,""))</f>
        <v/>
      </c>
      <c r="AN20" s="11" t="str">
        <f>IF(AND($C20="Goal",AN$7&gt;=$D20,AN$7&lt;=$D20+$F20-1),2,IF(AND($C20="Milestone",AN$7&gt;=$D20,AN$7&lt;=$D20+$F20-1),1,""))</f>
        <v/>
      </c>
      <c r="AO20" s="11" t="str">
        <f>IF(AND($C20="Goal",AO$7&gt;=$D20,AO$7&lt;=$D20+$F20-1),2,IF(AND($C20="Milestone",AO$7&gt;=$D20,AO$7&lt;=$D20+$F20-1),1,""))</f>
        <v/>
      </c>
      <c r="AP20" s="11" t="str">
        <f>IF(AND($C20="Goal",AP$7&gt;=$D20,AP$7&lt;=$D20+$F20-1),2,IF(AND($C20="Milestone",AP$7&gt;=$D20,AP$7&lt;=$D20+$F20-1),1,""))</f>
        <v/>
      </c>
      <c r="AQ20" s="11" t="str">
        <f>IF(AND($C20="Goal",AQ$7&gt;=$D20,AQ$7&lt;=$D20+$F20-1),2,IF(AND($C20="Milestone",AQ$7&gt;=$D20,AQ$7&lt;=$D20+$F20-1),1,""))</f>
        <v/>
      </c>
      <c r="AR20" s="11" t="str">
        <f>IF(AND($C20="Goal",AR$7&gt;=$D20,AR$7&lt;=$D20+$F20-1),2,IF(AND($C20="Milestone",AR$7&gt;=$D20,AR$7&lt;=$D20+$F20-1),1,""))</f>
        <v/>
      </c>
      <c r="AS20" s="11" t="str">
        <f>IF(AND($C20="Goal",AS$7&gt;=$D20,AS$7&lt;=$D20+$F20-1),2,IF(AND($C20="Milestone",AS$7&gt;=$D20,AS$7&lt;=$D20+$F20-1),1,""))</f>
        <v/>
      </c>
      <c r="AT20" s="11" t="str">
        <f>IF(AND($C20="Goal",AT$7&gt;=$D20,AT$7&lt;=$D20+$F20-1),2,IF(AND($C20="Milestone",AT$7&gt;=$D20,AT$7&lt;=$D20+$F20-1),1,""))</f>
        <v/>
      </c>
      <c r="AU20" s="11" t="str">
        <f>IF(AND($C20="Goal",AU$7&gt;=$D20,AU$7&lt;=$D20+$F20-1),2,IF(AND($C20="Milestone",AU$7&gt;=$D20,AU$7&lt;=$D20+$F20-1),1,""))</f>
        <v/>
      </c>
      <c r="AV20" s="11" t="str">
        <f>IF(AND($C20="Goal",AV$7&gt;=$D20,AV$7&lt;=$D20+$F20-1),2,IF(AND($C20="Milestone",AV$7&gt;=$D20,AV$7&lt;=$D20+$F20-1),1,""))</f>
        <v/>
      </c>
      <c r="AW20" s="11" t="str">
        <f>IF(AND($C20="Goal",AW$7&gt;=$D20,AW$7&lt;=$D20+$F20-1),2,IF(AND($C20="Milestone",AW$7&gt;=$D20,AW$7&lt;=$D20+$F20-1),1,""))</f>
        <v/>
      </c>
      <c r="AX20" s="11" t="str">
        <f>IF(AND($C20="Goal",AX$7&gt;=$D20,AX$7&lt;=$D20+$F20-1),2,IF(AND($C20="Milestone",AX$7&gt;=$D20,AX$7&lt;=$D20+$F20-1),1,""))</f>
        <v/>
      </c>
      <c r="AY20" s="11" t="str">
        <f>IF(AND($C20="Goal",AY$7&gt;=$D20,AY$7&lt;=$D20+$F20-1),2,IF(AND($C20="Milestone",AY$7&gt;=$D20,AY$7&lt;=$D20+$F20-1),1,""))</f>
        <v/>
      </c>
      <c r="AZ20" s="11" t="str">
        <f>IF(AND($C20="Goal",AZ$7&gt;=$D20,AZ$7&lt;=$D20+$F20-1),2,IF(AND($C20="Milestone",AZ$7&gt;=$D20,AZ$7&lt;=$D20+$F20-1),1,""))</f>
        <v/>
      </c>
      <c r="BA20" s="11" t="str">
        <f>IF(AND($C20="Goal",BA$7&gt;=$D20,BA$7&lt;=$D20+$F20-1),2,IF(AND($C20="Milestone",BA$7&gt;=$D20,BA$7&lt;=$D20+$F20-1),1,""))</f>
        <v/>
      </c>
      <c r="BB20" s="11" t="str">
        <f>IF(AND($C20="Goal",BB$7&gt;=$D20,BB$7&lt;=$D20+$F20-1),2,IF(AND($C20="Milestone",BB$7&gt;=$D20,BB$7&lt;=$D20+$F20-1),1,""))</f>
        <v/>
      </c>
      <c r="BC20" s="11" t="str">
        <f>IF(AND($C20="Goal",BC$7&gt;=$D20,BC$7&lt;=$D20+$F20-1),2,IF(AND($C20="Milestone",BC$7&gt;=$D20,BC$7&lt;=$D20+$F20-1),1,""))</f>
        <v/>
      </c>
      <c r="BD20" s="11" t="str">
        <f>IF(AND($C20="Goal",BD$7&gt;=$D20,BD$7&lt;=$D20+$F20-1),2,IF(AND($C20="Milestone",BD$7&gt;=$D20,BD$7&lt;=$D20+$F20-1),1,""))</f>
        <v/>
      </c>
      <c r="BE20" s="11" t="str">
        <f>IF(AND($C20="Goal",BE$7&gt;=$D20,BE$7&lt;=$D20+$F20-1),2,IF(AND($C20="Milestone",BE$7&gt;=$D20,BE$7&lt;=$D20+$F20-1),1,""))</f>
        <v/>
      </c>
      <c r="BF20" s="11" t="str">
        <f>IF(AND($C20="Goal",BF$7&gt;=$D20,BF$7&lt;=$D20+$F20-1),2,IF(AND($C20="Milestone",BF$7&gt;=$D20,BF$7&lt;=$D20+$F20-1),1,""))</f>
        <v/>
      </c>
      <c r="BG20" s="11" t="str">
        <f>IF(AND($C20="Goal",BG$7&gt;=$D20,BG$7&lt;=$D20+$F20-1),2,IF(AND($C20="Milestone",BG$7&gt;=$D20,BG$7&lt;=$D20+$F20-1),1,""))</f>
        <v/>
      </c>
      <c r="BH20" s="11" t="str">
        <f>IF(AND($C20="Goal",BH$7&gt;=$D20,BH$7&lt;=$D20+$F20-1),2,IF(AND($C20="Milestone",BH$7&gt;=$D20,BH$7&lt;=$D20+$F20-1),1,""))</f>
        <v/>
      </c>
      <c r="BI20" s="11" t="str">
        <f>IF(AND($C20="Goal",BI$7&gt;=$D20,BI$7&lt;=$D20+$F20-1),2,IF(AND($C20="Milestone",BI$7&gt;=$D20,BI$7&lt;=$D20+$F20-1),1,""))</f>
        <v/>
      </c>
      <c r="BJ20" s="11" t="str">
        <f>IF(AND($C20="Goal",BJ$7&gt;=$D20,BJ$7&lt;=$D20+$F20-1),2,IF(AND($C20="Milestone",BJ$7&gt;=$D20,BJ$7&lt;=$D20+$F20-1),1,""))</f>
        <v/>
      </c>
      <c r="BK20" s="11" t="str">
        <f>IF(AND($C20="Goal",BK$7&gt;=$D20,BK$7&lt;=$D20+$F20-1),2,IF(AND($C20="Milestone",BK$7&gt;=$D20,BK$7&lt;=$D20+$F20-1),1,""))</f>
        <v/>
      </c>
      <c r="BL20" s="11" t="str">
        <f>IF(AND($C20="Goal",BL$7&gt;=$D20,BL$7&lt;=$D20+$F20-1),2,IF(AND($C20="Milestone",BL$7&gt;=$D20,BL$7&lt;=$D20+$F20-1),1,""))</f>
        <v/>
      </c>
      <c r="BM20" s="11" t="str">
        <f>IF(AND($C20="Goal",BM$7&gt;=$D20,BM$7&lt;=$D20+$F20-1),2,IF(AND($C20="Milestone",BM$7&gt;=$D20,BM$7&lt;=$D20+$F20-1),1,""))</f>
        <v/>
      </c>
      <c r="BN20" s="11" t="str">
        <f>IF(AND($C20="Goal",BN$7&gt;=$D20,BN$7&lt;=$D20+$F20-1),2,IF(AND($C20="Milestone",BN$7&gt;=$D20,BN$7&lt;=$D20+$F20-1),1,""))</f>
        <v/>
      </c>
      <c r="BO20" s="11" t="str">
        <f>IF(AND($C20="Goal",BO$7&gt;=$D20,BO$7&lt;=$D20+$F20-1),2,IF(AND($C20="Milestone",BO$7&gt;=$D20,BO$7&lt;=$D20+$F20-1),1,""))</f>
        <v/>
      </c>
      <c r="BP20" s="11" t="str">
        <f>IF(AND($C20="Goal",BP$7&gt;=$D20,BP$7&lt;=$D20+$F20-1),2,IF(AND($C20="Milestone",BP$7&gt;=$D20,BP$7&lt;=$D20+$F20-1),1,""))</f>
        <v/>
      </c>
      <c r="BQ20" s="11" t="str">
        <f>IF(AND($C20="Goal",BQ$7&gt;=$D20,BQ$7&lt;=$D20+$F20-1),2,IF(AND($C20="Milestone",BQ$7&gt;=$D20,BQ$7&lt;=$D20+$F20-1),1,""))</f>
        <v/>
      </c>
      <c r="BR20" s="11" t="str">
        <f>IF(AND($C20="Goal",BR$7&gt;=$D20,BR$7&lt;=$D20+$F20-1),2,IF(AND($C20="Milestone",BR$7&gt;=$D20,BR$7&lt;=$D20+$F20-1),1,""))</f>
        <v/>
      </c>
      <c r="BS20" s="11" t="str">
        <f>IF(AND($C20="Goal",BS$7&gt;=$D20,BS$7&lt;=$D20+$F20-1),2,IF(AND($C20="Milestone",BS$7&gt;=$D20,BS$7&lt;=$D20+$F20-1),1,""))</f>
        <v/>
      </c>
      <c r="BT20" s="11" t="str">
        <f>IF(AND($C20="Goal",BT$7&gt;=$D20,BT$7&lt;=$D20+$F20-1),2,IF(AND($C20="Milestone",BT$7&gt;=$D20,BT$7&lt;=$D20+$F20-1),1,""))</f>
        <v/>
      </c>
      <c r="BU20" s="11" t="str">
        <f>IF(AND($C20="Goal",BU$7&gt;=$D20,BU$7&lt;=$D20+$F20-1),2,IF(AND($C20="Milestone",BU$7&gt;=$D20,BU$7&lt;=$D20+$F20-1),1,""))</f>
        <v/>
      </c>
      <c r="BV20" s="11" t="str">
        <f>IF(AND($C20="Goal",BV$7&gt;=$D20,BV$7&lt;=$D20+$F20-1),2,IF(AND($C20="Milestone",BV$7&gt;=$D20,BV$7&lt;=$D20+$F20-1),1,""))</f>
        <v/>
      </c>
      <c r="BW20" s="11" t="str">
        <f>IF(AND($C20="Goal",BW$7&gt;=$D20,BW$7&lt;=$D20+$F20-1),2,IF(AND($C20="Milestone",BW$7&gt;=$D20,BW$7&lt;=$D20+$F20-1),1,""))</f>
        <v/>
      </c>
      <c r="BX20" s="11" t="str">
        <f>IF(AND($C20="Goal",BX$7&gt;=$D20,BX$7&lt;=$D20+$F20-1),2,IF(AND($C20="Milestone",BX$7&gt;=$D20,BX$7&lt;=$D20+$F20-1),1,""))</f>
        <v/>
      </c>
      <c r="BY20" s="11" t="str">
        <f>IF(AND($C20="Goal",BY$7&gt;=$D20,BY$7&lt;=$D20+$F20-1),2,IF(AND($C20="Milestone",BY$7&gt;=$D20,BY$7&lt;=$D20+$F20-1),1,""))</f>
        <v/>
      </c>
      <c r="BZ20" s="11" t="str">
        <f>IF(AND($C20="Goal",BZ$7&gt;=$D20,BZ$7&lt;=$D20+$F20-1),2,IF(AND($C20="Milestone",BZ$7&gt;=$D20,BZ$7&lt;=$D20+$F20-1),1,""))</f>
        <v/>
      </c>
      <c r="CA20" s="11" t="str">
        <f>IF(AND($C20="Goal",CA$7&gt;=$D20,CA$7&lt;=$D20+$F20-1),2,IF(AND($C20="Milestone",CA$7&gt;=$D20,CA$7&lt;=$D20+$F20-1),1,""))</f>
        <v/>
      </c>
      <c r="CB20" s="11" t="str">
        <f>IF(AND($C20="Goal",CB$7&gt;=$D20,CB$7&lt;=$D20+$F20-1),2,IF(AND($C20="Milestone",CB$7&gt;=$D20,CB$7&lt;=$D20+$F20-1),1,""))</f>
        <v/>
      </c>
      <c r="CC20" s="11" t="str">
        <f>IF(AND($C20="Goal",CC$7&gt;=$D20,CC$7&lt;=$D20+$F20-1),2,IF(AND($C20="Milestone",CC$7&gt;=$D20,CC$7&lt;=$D20+$F20-1),1,""))</f>
        <v/>
      </c>
      <c r="CD20" s="11" t="str">
        <f>IF(AND($C20="Goal",CD$7&gt;=$D20,CD$7&lt;=$D20+$F20-1),2,IF(AND($C20="Milestone",CD$7&gt;=$D20,CD$7&lt;=$D20+$F20-1),1,""))</f>
        <v/>
      </c>
      <c r="CE20" s="11" t="str">
        <f>IF(AND($C20="Goal",CE$7&gt;=$D20,CE$7&lt;=$D20+$F20-1),2,IF(AND($C20="Milestone",CE$7&gt;=$D20,CE$7&lt;=$D20+$F20-1),1,""))</f>
        <v/>
      </c>
      <c r="CF20" s="11" t="str">
        <f>IF(AND($C20="Goal",CF$7&gt;=$D20,CF$7&lt;=$D20+$F20-1),2,IF(AND($C20="Milestone",CF$7&gt;=$D20,CF$7&lt;=$D20+$F20-1),1,""))</f>
        <v/>
      </c>
      <c r="CG20" s="11" t="str">
        <f>IF(AND($C20="Goal",CG$7&gt;=$D20,CG$7&lt;=$D20+$F20-1),2,IF(AND($C20="Milestone",CG$7&gt;=$D20,CG$7&lt;=$D20+$F20-1),1,""))</f>
        <v/>
      </c>
      <c r="CH20" s="11" t="str">
        <f>IF(AND($C20="Goal",CH$7&gt;=$D20,CH$7&lt;=$D20+$F20-1),2,IF(AND($C20="Milestone",CH$7&gt;=$D20,CH$7&lt;=$D20+$F20-1),1,""))</f>
        <v/>
      </c>
      <c r="CI20" s="11" t="str">
        <f>IF(AND($C20="Goal",CI$7&gt;=$D20,CI$7&lt;=$D20+$F20-1),2,IF(AND($C20="Milestone",CI$7&gt;=$D20,CI$7&lt;=$D20+$F20-1),1,""))</f>
        <v/>
      </c>
      <c r="CJ20" s="11" t="str">
        <f>IF(AND($C20="Goal",CJ$7&gt;=$D20,CJ$7&lt;=$D20+$F20-1),2,IF(AND($C20="Milestone",CJ$7&gt;=$D20,CJ$7&lt;=$D20+$F20-1),1,""))</f>
        <v/>
      </c>
      <c r="CK20" s="11" t="str">
        <f>IF(AND($C20="Goal",CK$7&gt;=$D20,CK$7&lt;=$D20+$F20-1),2,IF(AND($C20="Milestone",CK$7&gt;=$D20,CK$7&lt;=$D20+$F20-1),1,""))</f>
        <v/>
      </c>
      <c r="CL20" s="11" t="str">
        <f>IF(AND($C20="Goal",CL$7&gt;=$D20,CL$7&lt;=$D20+$F20-1),2,IF(AND($C20="Milestone",CL$7&gt;=$D20,CL$7&lt;=$D20+$F20-1),1,""))</f>
        <v/>
      </c>
      <c r="CM20" s="11" t="str">
        <f>IF(AND($C20="Goal",CM$7&gt;=$D20,CM$7&lt;=$D20+$F20-1),2,IF(AND($C20="Milestone",CM$7&gt;=$D20,CM$7&lt;=$D20+$F20-1),1,""))</f>
        <v/>
      </c>
      <c r="CN20" s="11" t="str">
        <f>IF(AND($C20="Goal",CN$7&gt;=$D20,CN$7&lt;=$D20+$F20-1),2,IF(AND($C20="Milestone",CN$7&gt;=$D20,CN$7&lt;=$D20+$F20-1),1,""))</f>
        <v/>
      </c>
      <c r="CO20" s="11" t="str">
        <f>IF(AND($C20="Goal",CO$7&gt;=$D20,CO$7&lt;=$D20+$F20-1),2,IF(AND($C20="Milestone",CO$7&gt;=$D20,CO$7&lt;=$D20+$F20-1),1,""))</f>
        <v/>
      </c>
      <c r="CP20" s="11" t="str">
        <f>IF(AND($C20="Goal",CP$7&gt;=$D20,CP$7&lt;=$D20+$F20-1),2,IF(AND($C20="Milestone",CP$7&gt;=$D20,CP$7&lt;=$D20+$F20-1),1,""))</f>
        <v/>
      </c>
      <c r="CQ20" s="11" t="str">
        <f>IF(AND($C20="Goal",CQ$7&gt;=$D20,CQ$7&lt;=$D20+$F20-1),2,IF(AND($C20="Milestone",CQ$7&gt;=$D20,CQ$7&lt;=$D20+$F20-1),1,""))</f>
        <v/>
      </c>
      <c r="CR20" s="11" t="str">
        <f>IF(AND($C20="Goal",CR$7&gt;=$D20,CR$7&lt;=$D20+$F20-1),2,IF(AND($C20="Milestone",CR$7&gt;=$D20,CR$7&lt;=$D20+$F20-1),1,""))</f>
        <v/>
      </c>
      <c r="CS20" s="11" t="str">
        <f>IF(AND($C20="Goal",CS$7&gt;=$D20,CS$7&lt;=$D20+$F20-1),2,IF(AND($C20="Milestone",CS$7&gt;=$D20,CS$7&lt;=$D20+$F20-1),1,""))</f>
        <v/>
      </c>
      <c r="CT20" s="11" t="str">
        <f>IF(AND($C20="Goal",CT$7&gt;=$D20,CT$7&lt;=$D20+$F20-1),2,IF(AND($C20="Milestone",CT$7&gt;=$D20,CT$7&lt;=$D20+$F20-1),1,""))</f>
        <v/>
      </c>
      <c r="CU20" s="11" t="str">
        <f>IF(AND($C20="Goal",CU$7&gt;=$D20,CU$7&lt;=$D20+$F20-1),2,IF(AND($C20="Milestone",CU$7&gt;=$D20,CU$7&lt;=$D20+$F20-1),1,""))</f>
        <v/>
      </c>
      <c r="CV20" s="11" t="str">
        <f>IF(AND($C20="Goal",CV$7&gt;=$D20,CV$7&lt;=$D20+$F20-1),2,IF(AND($C20="Milestone",CV$7&gt;=$D20,CV$7&lt;=$D20+$F20-1),1,""))</f>
        <v/>
      </c>
      <c r="CW20" s="11" t="str">
        <f>IF(AND($C20="Goal",CW$7&gt;=$D20,CW$7&lt;=$D20+$F20-1),2,IF(AND($C20="Milestone",CW$7&gt;=$D20,CW$7&lt;=$D20+$F20-1),1,""))</f>
        <v/>
      </c>
      <c r="CX20" s="11" t="str">
        <f>IF(AND($C20="Goal",CX$7&gt;=$D20,CX$7&lt;=$D20+$F20-1),2,IF(AND($C20="Milestone",CX$7&gt;=$D20,CX$7&lt;=$D20+$F20-1),1,""))</f>
        <v/>
      </c>
      <c r="CY20" s="11" t="str">
        <f>IF(AND($C20="Goal",CY$7&gt;=$D20,CY$7&lt;=$D20+$F20-1),2,IF(AND($C20="Milestone",CY$7&gt;=$D20,CY$7&lt;=$D20+$F20-1),1,""))</f>
        <v/>
      </c>
      <c r="CZ20" s="11" t="str">
        <f>IF(AND($C20="Goal",CZ$7&gt;=$D20,CZ$7&lt;=$D20+$F20-1),2,IF(AND($C20="Milestone",CZ$7&gt;=$D20,CZ$7&lt;=$D20+$F20-1),1,""))</f>
        <v/>
      </c>
      <c r="DA20" s="11" t="str">
        <f>IF(AND($C20="Goal",DA$7&gt;=$D20,DA$7&lt;=$D20+$F20-1),2,IF(AND($C20="Milestone",DA$7&gt;=$D20,DA$7&lt;=$D20+$F20-1),1,""))</f>
        <v/>
      </c>
      <c r="DB20" s="11" t="str">
        <f>IF(AND($C20="Goal",DB$7&gt;=$D20,DB$7&lt;=$D20+$F20-1),2,IF(AND($C20="Milestone",DB$7&gt;=$D20,DB$7&lt;=$D20+$F20-1),1,""))</f>
        <v/>
      </c>
      <c r="DC20" s="11" t="str">
        <f>IF(AND($C20="Goal",DC$7&gt;=$D20,DC$7&lt;=$D20+$F20-1),2,IF(AND($C20="Milestone",DC$7&gt;=$D20,DC$7&lt;=$D20+$F20-1),1,""))</f>
        <v/>
      </c>
      <c r="DD20" s="11" t="str">
        <f>IF(AND($C20="Goal",DD$7&gt;=$D20,DD$7&lt;=$D20+$F20-1),2,IF(AND($C20="Milestone",DD$7&gt;=$D20,DD$7&lt;=$D20+$F20-1),1,""))</f>
        <v/>
      </c>
      <c r="DE20" s="11">
        <f>IF(AND($C20="Goal",DE$7&gt;=$D20,DE$7&lt;=$D20+$F20-1),2,IF(AND($C20="Milestone",DE$7&gt;=$D20,DE$7&lt;=$D20+$F20-1),1,""))</f>
        <v>1</v>
      </c>
      <c r="DF20" s="11" t="str">
        <f>IF(AND($C20="Goal",DF$7&gt;=$D20,DF$7&lt;=$D20+$F20-1),2,IF(AND($C20="Milestone",DF$7&gt;=$D20,DF$7&lt;=$D20+$F20-1),1,""))</f>
        <v/>
      </c>
    </row>
    <row r="21" spans="1:110" s="1" customFormat="1" ht="40.15" customHeight="1" x14ac:dyDescent="0.35">
      <c r="A21" s="4"/>
      <c r="B21" s="43" t="s">
        <v>15</v>
      </c>
      <c r="C21" s="13" t="s">
        <v>3</v>
      </c>
      <c r="D21" s="14">
        <v>46007</v>
      </c>
      <c r="E21" s="14">
        <f>Milestones4352[[#This Row],[Ínicio]]+Milestones4352[[#This Row],[Nº Dias]]-1</f>
        <v>46031</v>
      </c>
      <c r="F21" s="15">
        <v>25</v>
      </c>
      <c r="G21" s="13"/>
      <c r="H21" s="11" t="str">
        <f>IF(AND($C21="Goal",H$7&gt;=$D21,H$7&lt;=$D21+$F21-1),2,IF(AND($C21="Milestone",H$7&gt;=$D21,H$7&lt;=$D21+$F21-1),1,""))</f>
        <v/>
      </c>
      <c r="I21" s="11" t="str">
        <f>IF(AND($C21="Goal",I$7&gt;=$D21,I$7&lt;=$D21+$F21-1),2,IF(AND($C21="Milestone",I$7&gt;=$D21,I$7&lt;=$D21+$F21-1),1,""))</f>
        <v/>
      </c>
      <c r="J21" s="11" t="str">
        <f>IF(AND($C21="Goal",J$7&gt;=$D21,J$7&lt;=$D21+$F21-1),2,IF(AND($C21="Milestone",J$7&gt;=$D21,J$7&lt;=$D21+$F21-1),1,""))</f>
        <v/>
      </c>
      <c r="K21" s="11" t="str">
        <f>IF(AND($C21="Goal",K$7&gt;=$D21,K$7&lt;=$D21+$F21-1),2,IF(AND($C21="Milestone",K$7&gt;=$D21,K$7&lt;=$D21+$F21-1),1,""))</f>
        <v/>
      </c>
      <c r="L21" s="11" t="str">
        <f>IF(AND($C21="Goal",L$7&gt;=$D21,L$7&lt;=$D21+$F21-1),2,IF(AND($C21="Milestone",L$7&gt;=$D21,L$7&lt;=$D21+$F21-1),1,""))</f>
        <v/>
      </c>
      <c r="M21" s="11" t="str">
        <f>IF(AND($C21="Goal",M$7&gt;=$D21,M$7&lt;=$D21+$F21-1),2,IF(AND($C21="Milestone",M$7&gt;=$D21,M$7&lt;=$D21+$F21-1),1,""))</f>
        <v/>
      </c>
      <c r="N21" s="11" t="str">
        <f>IF(AND($C21="Goal",N$7&gt;=$D21,N$7&lt;=$D21+$F21-1),2,IF(AND($C21="Milestone",N$7&gt;=$D21,N$7&lt;=$D21+$F21-1),1,""))</f>
        <v/>
      </c>
      <c r="O21" s="11" t="str">
        <f>IF(AND($C21="Goal",O$7&gt;=$D21,O$7&lt;=$D21+$F21-1),2,IF(AND($C21="Milestone",O$7&gt;=$D21,O$7&lt;=$D21+$F21-1),1,""))</f>
        <v/>
      </c>
      <c r="P21" s="11" t="str">
        <f>IF(AND($C21="Goal",P$7&gt;=$D21,P$7&lt;=$D21+$F21-1),2,IF(AND($C21="Milestone",P$7&gt;=$D21,P$7&lt;=$D21+$F21-1),1,""))</f>
        <v/>
      </c>
      <c r="Q21" s="11" t="str">
        <f>IF(AND($C21="Goal",Q$7&gt;=$D21,Q$7&lt;=$D21+$F21-1),2,IF(AND($C21="Milestone",Q$7&gt;=$D21,Q$7&lt;=$D21+$F21-1),1,""))</f>
        <v/>
      </c>
      <c r="R21" s="11" t="str">
        <f>IF(AND($C21="Goal",R$7&gt;=$D21,R$7&lt;=$D21+$F21-1),2,IF(AND($C21="Milestone",R$7&gt;=$D21,R$7&lt;=$D21+$F21-1),1,""))</f>
        <v/>
      </c>
      <c r="S21" s="11" t="str">
        <f>IF(AND($C21="Goal",S$7&gt;=$D21,S$7&lt;=$D21+$F21-1),2,IF(AND($C21="Milestone",S$7&gt;=$D21,S$7&lt;=$D21+$F21-1),1,""))</f>
        <v/>
      </c>
      <c r="T21" s="11" t="str">
        <f>IF(AND($C21="Goal",T$7&gt;=$D21,T$7&lt;=$D21+$F21-1),2,IF(AND($C21="Milestone",T$7&gt;=$D21,T$7&lt;=$D21+$F21-1),1,""))</f>
        <v/>
      </c>
      <c r="U21" s="11" t="str">
        <f>IF(AND($C21="Goal",U$7&gt;=$D21,U$7&lt;=$D21+$F21-1),2,IF(AND($C21="Milestone",U$7&gt;=$D21,U$7&lt;=$D21+$F21-1),1,""))</f>
        <v/>
      </c>
      <c r="V21" s="11" t="str">
        <f>IF(AND($C21="Goal",V$7&gt;=$D21,V$7&lt;=$D21+$F21-1),2,IF(AND($C21="Milestone",V$7&gt;=$D21,V$7&lt;=$D21+$F21-1),1,""))</f>
        <v/>
      </c>
      <c r="W21" s="11" t="str">
        <f>IF(AND($C21="Goal",W$7&gt;=$D21,W$7&lt;=$D21+$F21-1),2,IF(AND($C21="Milestone",W$7&gt;=$D21,W$7&lt;=$D21+$F21-1),1,""))</f>
        <v/>
      </c>
      <c r="X21" s="11" t="str">
        <f>IF(AND($C21="Goal",X$7&gt;=$D21,X$7&lt;=$D21+$F21-1),2,IF(AND($C21="Milestone",X$7&gt;=$D21,X$7&lt;=$D21+$F21-1),1,""))</f>
        <v/>
      </c>
      <c r="Y21" s="11" t="str">
        <f>IF(AND($C21="Goal",Y$7&gt;=$D21,Y$7&lt;=$D21+$F21-1),2,IF(AND($C21="Milestone",Y$7&gt;=$D21,Y$7&lt;=$D21+$F21-1),1,""))</f>
        <v/>
      </c>
      <c r="Z21" s="11" t="str">
        <f>IF(AND($C21="Goal",Z$7&gt;=$D21,Z$7&lt;=$D21+$F21-1),2,IF(AND($C21="Milestone",Z$7&gt;=$D21,Z$7&lt;=$D21+$F21-1),1,""))</f>
        <v/>
      </c>
      <c r="AA21" s="11" t="str">
        <f>IF(AND($C21="Goal",AA$7&gt;=$D21,AA$7&lt;=$D21+$F21-1),2,IF(AND($C21="Milestone",AA$7&gt;=$D21,AA$7&lt;=$D21+$F21-1),1,""))</f>
        <v/>
      </c>
      <c r="AB21" s="11" t="str">
        <f>IF(AND($C21="Goal",AB$7&gt;=$D21,AB$7&lt;=$D21+$F21-1),2,IF(AND($C21="Milestone",AB$7&gt;=$D21,AB$7&lt;=$D21+$F21-1),1,""))</f>
        <v/>
      </c>
      <c r="AC21" s="11" t="str">
        <f>IF(AND($C21="Goal",AC$7&gt;=$D21,AC$7&lt;=$D21+$F21-1),2,IF(AND($C21="Milestone",AC$7&gt;=$D21,AC$7&lt;=$D21+$F21-1),1,""))</f>
        <v/>
      </c>
      <c r="AD21" s="11" t="str">
        <f>IF(AND($C21="Goal",AD$7&gt;=$D21,AD$7&lt;=$D21+$F21-1),2,IF(AND($C21="Milestone",AD$7&gt;=$D21,AD$7&lt;=$D21+$F21-1),1,""))</f>
        <v/>
      </c>
      <c r="AE21" s="11" t="str">
        <f>IF(AND($C21="Goal",AE$7&gt;=$D21,AE$7&lt;=$D21+$F21-1),2,IF(AND($C21="Milestone",AE$7&gt;=$D21,AE$7&lt;=$D21+$F21-1),1,""))</f>
        <v/>
      </c>
      <c r="AF21" s="11" t="str">
        <f>IF(AND($C21="Goal",AF$7&gt;=$D21,AF$7&lt;=$D21+$F21-1),2,IF(AND($C21="Milestone",AF$7&gt;=$D21,AF$7&lt;=$D21+$F21-1),1,""))</f>
        <v/>
      </c>
      <c r="AG21" s="11" t="str">
        <f>IF(AND($C21="Goal",AG$7&gt;=$D21,AG$7&lt;=$D21+$F21-1),2,IF(AND($C21="Milestone",AG$7&gt;=$D21,AG$7&lt;=$D21+$F21-1),1,""))</f>
        <v/>
      </c>
      <c r="AH21" s="11" t="str">
        <f>IF(AND($C21="Goal",AH$7&gt;=$D21,AH$7&lt;=$D21+$F21-1),2,IF(AND($C21="Milestone",AH$7&gt;=$D21,AH$7&lt;=$D21+$F21-1),1,""))</f>
        <v/>
      </c>
      <c r="AI21" s="11" t="str">
        <f>IF(AND($C21="Goal",AI$7&gt;=$D21,AI$7&lt;=$D21+$F21-1),2,IF(AND($C21="Milestone",AI$7&gt;=$D21,AI$7&lt;=$D21+$F21-1),1,""))</f>
        <v/>
      </c>
      <c r="AJ21" s="11" t="str">
        <f>IF(AND($C21="Goal",AJ$7&gt;=$D21,AJ$7&lt;=$D21+$F21-1),2,IF(AND($C21="Milestone",AJ$7&gt;=$D21,AJ$7&lt;=$D21+$F21-1),1,""))</f>
        <v/>
      </c>
      <c r="AK21" s="11" t="str">
        <f>IF(AND($C21="Goal",AK$7&gt;=$D21,AK$7&lt;=$D21+$F21-1),2,IF(AND($C21="Milestone",AK$7&gt;=$D21,AK$7&lt;=$D21+$F21-1),1,""))</f>
        <v/>
      </c>
      <c r="AL21" s="11" t="str">
        <f>IF(AND($C21="Goal",AL$7&gt;=$D21,AL$7&lt;=$D21+$F21-1),2,IF(AND($C21="Milestone",AL$7&gt;=$D21,AL$7&lt;=$D21+$F21-1),1,""))</f>
        <v/>
      </c>
      <c r="AM21" s="11" t="str">
        <f>IF(AND($C21="Goal",AM$7&gt;=$D21,AM$7&lt;=$D21+$F21-1),2,IF(AND($C21="Milestone",AM$7&gt;=$D21,AM$7&lt;=$D21+$F21-1),1,""))</f>
        <v/>
      </c>
      <c r="AN21" s="11" t="str">
        <f>IF(AND($C21="Goal",AN$7&gt;=$D21,AN$7&lt;=$D21+$F21-1),2,IF(AND($C21="Milestone",AN$7&gt;=$D21,AN$7&lt;=$D21+$F21-1),1,""))</f>
        <v/>
      </c>
      <c r="AO21" s="11" t="str">
        <f>IF(AND($C21="Goal",AO$7&gt;=$D21,AO$7&lt;=$D21+$F21-1),2,IF(AND($C21="Milestone",AO$7&gt;=$D21,AO$7&lt;=$D21+$F21-1),1,""))</f>
        <v/>
      </c>
      <c r="AP21" s="11" t="str">
        <f>IF(AND($C21="Goal",AP$7&gt;=$D21,AP$7&lt;=$D21+$F21-1),2,IF(AND($C21="Milestone",AP$7&gt;=$D21,AP$7&lt;=$D21+$F21-1),1,""))</f>
        <v/>
      </c>
      <c r="AQ21" s="11" t="str">
        <f>IF(AND($C21="Goal",AQ$7&gt;=$D21,AQ$7&lt;=$D21+$F21-1),2,IF(AND($C21="Milestone",AQ$7&gt;=$D21,AQ$7&lt;=$D21+$F21-1),1,""))</f>
        <v/>
      </c>
      <c r="AR21" s="11" t="str">
        <f>IF(AND($C21="Goal",AR$7&gt;=$D21,AR$7&lt;=$D21+$F21-1),2,IF(AND($C21="Milestone",AR$7&gt;=$D21,AR$7&lt;=$D21+$F21-1),1,""))</f>
        <v/>
      </c>
      <c r="AS21" s="11" t="str">
        <f>IF(AND($C21="Goal",AS$7&gt;=$D21,AS$7&lt;=$D21+$F21-1),2,IF(AND($C21="Milestone",AS$7&gt;=$D21,AS$7&lt;=$D21+$F21-1),1,""))</f>
        <v/>
      </c>
      <c r="AT21" s="11" t="str">
        <f>IF(AND($C21="Goal",AT$7&gt;=$D21,AT$7&lt;=$D21+$F21-1),2,IF(AND($C21="Milestone",AT$7&gt;=$D21,AT$7&lt;=$D21+$F21-1),1,""))</f>
        <v/>
      </c>
      <c r="AU21" s="11" t="str">
        <f>IF(AND($C21="Goal",AU$7&gt;=$D21,AU$7&lt;=$D21+$F21-1),2,IF(AND($C21="Milestone",AU$7&gt;=$D21,AU$7&lt;=$D21+$F21-1),1,""))</f>
        <v/>
      </c>
      <c r="AV21" s="11" t="str">
        <f>IF(AND($C21="Goal",AV$7&gt;=$D21,AV$7&lt;=$D21+$F21-1),2,IF(AND($C21="Milestone",AV$7&gt;=$D21,AV$7&lt;=$D21+$F21-1),1,""))</f>
        <v/>
      </c>
      <c r="AW21" s="11" t="str">
        <f>IF(AND($C21="Goal",AW$7&gt;=$D21,AW$7&lt;=$D21+$F21-1),2,IF(AND($C21="Milestone",AW$7&gt;=$D21,AW$7&lt;=$D21+$F21-1),1,""))</f>
        <v/>
      </c>
      <c r="AX21" s="11" t="str">
        <f>IF(AND($C21="Goal",AX$7&gt;=$D21,AX$7&lt;=$D21+$F21-1),2,IF(AND($C21="Milestone",AX$7&gt;=$D21,AX$7&lt;=$D21+$F21-1),1,""))</f>
        <v/>
      </c>
      <c r="AY21" s="11" t="str">
        <f>IF(AND($C21="Goal",AY$7&gt;=$D21,AY$7&lt;=$D21+$F21-1),2,IF(AND($C21="Milestone",AY$7&gt;=$D21,AY$7&lt;=$D21+$F21-1),1,""))</f>
        <v/>
      </c>
      <c r="AZ21" s="11" t="str">
        <f>IF(AND($C21="Goal",AZ$7&gt;=$D21,AZ$7&lt;=$D21+$F21-1),2,IF(AND($C21="Milestone",AZ$7&gt;=$D21,AZ$7&lt;=$D21+$F21-1),1,""))</f>
        <v/>
      </c>
      <c r="BA21" s="11" t="str">
        <f>IF(AND($C21="Goal",BA$7&gt;=$D21,BA$7&lt;=$D21+$F21-1),2,IF(AND($C21="Milestone",BA$7&gt;=$D21,BA$7&lt;=$D21+$F21-1),1,""))</f>
        <v/>
      </c>
      <c r="BB21" s="11" t="str">
        <f>IF(AND($C21="Goal",BB$7&gt;=$D21,BB$7&lt;=$D21+$F21-1),2,IF(AND($C21="Milestone",BB$7&gt;=$D21,BB$7&lt;=$D21+$F21-1),1,""))</f>
        <v/>
      </c>
      <c r="BC21" s="11" t="str">
        <f>IF(AND($C21="Goal",BC$7&gt;=$D21,BC$7&lt;=$D21+$F21-1),2,IF(AND($C21="Milestone",BC$7&gt;=$D21,BC$7&lt;=$D21+$F21-1),1,""))</f>
        <v/>
      </c>
      <c r="BD21" s="11" t="str">
        <f>IF(AND($C21="Goal",BD$7&gt;=$D21,BD$7&lt;=$D21+$F21-1),2,IF(AND($C21="Milestone",BD$7&gt;=$D21,BD$7&lt;=$D21+$F21-1),1,""))</f>
        <v/>
      </c>
      <c r="BE21" s="11" t="str">
        <f>IF(AND($C21="Goal",BE$7&gt;=$D21,BE$7&lt;=$D21+$F21-1),2,IF(AND($C21="Milestone",BE$7&gt;=$D21,BE$7&lt;=$D21+$F21-1),1,""))</f>
        <v/>
      </c>
      <c r="BF21" s="11" t="str">
        <f>IF(AND($C21="Goal",BF$7&gt;=$D21,BF$7&lt;=$D21+$F21-1),2,IF(AND($C21="Milestone",BF$7&gt;=$D21,BF$7&lt;=$D21+$F21-1),1,""))</f>
        <v/>
      </c>
      <c r="BG21" s="11" t="str">
        <f>IF(AND($C21="Goal",BG$7&gt;=$D21,BG$7&lt;=$D21+$F21-1),2,IF(AND($C21="Milestone",BG$7&gt;=$D21,BG$7&lt;=$D21+$F21-1),1,""))</f>
        <v/>
      </c>
      <c r="BH21" s="11" t="str">
        <f>IF(AND($C21="Goal",BH$7&gt;=$D21,BH$7&lt;=$D21+$F21-1),2,IF(AND($C21="Milestone",BH$7&gt;=$D21,BH$7&lt;=$D21+$F21-1),1,""))</f>
        <v/>
      </c>
      <c r="BI21" s="11" t="str">
        <f>IF(AND($C21="Goal",BI$7&gt;=$D21,BI$7&lt;=$D21+$F21-1),2,IF(AND($C21="Milestone",BI$7&gt;=$D21,BI$7&lt;=$D21+$F21-1),1,""))</f>
        <v/>
      </c>
      <c r="BJ21" s="11" t="str">
        <f>IF(AND($C21="Goal",BJ$7&gt;=$D21,BJ$7&lt;=$D21+$F21-1),2,IF(AND($C21="Milestone",BJ$7&gt;=$D21,BJ$7&lt;=$D21+$F21-1),1,""))</f>
        <v/>
      </c>
      <c r="BK21" s="11" t="str">
        <f>IF(AND($C21="Goal",BK$7&gt;=$D21,BK$7&lt;=$D21+$F21-1),2,IF(AND($C21="Milestone",BK$7&gt;=$D21,BK$7&lt;=$D21+$F21-1),1,""))</f>
        <v/>
      </c>
      <c r="BL21" s="11" t="str">
        <f>IF(AND($C21="Goal",BL$7&gt;=$D21,BL$7&lt;=$D21+$F21-1),2,IF(AND($C21="Milestone",BL$7&gt;=$D21,BL$7&lt;=$D21+$F21-1),1,""))</f>
        <v/>
      </c>
      <c r="BM21" s="11" t="str">
        <f>IF(AND($C21="Goal",BM$7&gt;=$D21,BM$7&lt;=$D21+$F21-1),2,IF(AND($C21="Milestone",BM$7&gt;=$D21,BM$7&lt;=$D21+$F21-1),1,""))</f>
        <v/>
      </c>
      <c r="BN21" s="11" t="str">
        <f>IF(AND($C21="Goal",BN$7&gt;=$D21,BN$7&lt;=$D21+$F21-1),2,IF(AND($C21="Milestone",BN$7&gt;=$D21,BN$7&lt;=$D21+$F21-1),1,""))</f>
        <v/>
      </c>
      <c r="BO21" s="11" t="str">
        <f>IF(AND($C21="Goal",BO$7&gt;=$D21,BO$7&lt;=$D21+$F21-1),2,IF(AND($C21="Milestone",BO$7&gt;=$D21,BO$7&lt;=$D21+$F21-1),1,""))</f>
        <v/>
      </c>
      <c r="BP21" s="11" t="str">
        <f>IF(AND($C21="Goal",BP$7&gt;=$D21,BP$7&lt;=$D21+$F21-1),2,IF(AND($C21="Milestone",BP$7&gt;=$D21,BP$7&lt;=$D21+$F21-1),1,""))</f>
        <v/>
      </c>
      <c r="BQ21" s="11" t="str">
        <f>IF(AND($C21="Goal",BQ$7&gt;=$D21,BQ$7&lt;=$D21+$F21-1),2,IF(AND($C21="Milestone",BQ$7&gt;=$D21,BQ$7&lt;=$D21+$F21-1),1,""))</f>
        <v/>
      </c>
      <c r="BR21" s="11" t="str">
        <f>IF(AND($C21="Goal",BR$7&gt;=$D21,BR$7&lt;=$D21+$F21-1),2,IF(AND($C21="Milestone",BR$7&gt;=$D21,BR$7&lt;=$D21+$F21-1),1,""))</f>
        <v/>
      </c>
      <c r="BS21" s="11" t="str">
        <f>IF(AND($C21="Goal",BS$7&gt;=$D21,BS$7&lt;=$D21+$F21-1),2,IF(AND($C21="Milestone",BS$7&gt;=$D21,BS$7&lt;=$D21+$F21-1),1,""))</f>
        <v/>
      </c>
      <c r="BT21" s="11" t="str">
        <f>IF(AND($C21="Goal",BT$7&gt;=$D21,BT$7&lt;=$D21+$F21-1),2,IF(AND($C21="Milestone",BT$7&gt;=$D21,BT$7&lt;=$D21+$F21-1),1,""))</f>
        <v/>
      </c>
      <c r="BU21" s="11" t="str">
        <f>IF(AND($C21="Goal",BU$7&gt;=$D21,BU$7&lt;=$D21+$F21-1),2,IF(AND($C21="Milestone",BU$7&gt;=$D21,BU$7&lt;=$D21+$F21-1),1,""))</f>
        <v/>
      </c>
      <c r="BV21" s="11" t="str">
        <f>IF(AND($C21="Goal",BV$7&gt;=$D21,BV$7&lt;=$D21+$F21-1),2,IF(AND($C21="Milestone",BV$7&gt;=$D21,BV$7&lt;=$D21+$F21-1),1,""))</f>
        <v/>
      </c>
      <c r="BW21" s="11" t="str">
        <f>IF(AND($C21="Goal",BW$7&gt;=$D21,BW$7&lt;=$D21+$F21-1),2,IF(AND($C21="Milestone",BW$7&gt;=$D21,BW$7&lt;=$D21+$F21-1),1,""))</f>
        <v/>
      </c>
      <c r="BX21" s="11" t="str">
        <f>IF(AND($C21="Goal",BX$7&gt;=$D21,BX$7&lt;=$D21+$F21-1),2,IF(AND($C21="Milestone",BX$7&gt;=$D21,BX$7&lt;=$D21+$F21-1),1,""))</f>
        <v/>
      </c>
      <c r="BY21" s="11" t="str">
        <f>IF(AND($C21="Goal",BY$7&gt;=$D21,BY$7&lt;=$D21+$F21-1),2,IF(AND($C21="Milestone",BY$7&gt;=$D21,BY$7&lt;=$D21+$F21-1),1,""))</f>
        <v/>
      </c>
      <c r="BZ21" s="11" t="str">
        <f>IF(AND($C21="Goal",BZ$7&gt;=$D21,BZ$7&lt;=$D21+$F21-1),2,IF(AND($C21="Milestone",BZ$7&gt;=$D21,BZ$7&lt;=$D21+$F21-1),1,""))</f>
        <v/>
      </c>
      <c r="CA21" s="11" t="str">
        <f>IF(AND($C21="Goal",CA$7&gt;=$D21,CA$7&lt;=$D21+$F21-1),2,IF(AND($C21="Milestone",CA$7&gt;=$D21,CA$7&lt;=$D21+$F21-1),1,""))</f>
        <v/>
      </c>
      <c r="CB21" s="11" t="str">
        <f>IF(AND($C21="Goal",CB$7&gt;=$D21,CB$7&lt;=$D21+$F21-1),2,IF(AND($C21="Milestone",CB$7&gt;=$D21,CB$7&lt;=$D21+$F21-1),1,""))</f>
        <v/>
      </c>
      <c r="CC21" s="11" t="str">
        <f>IF(AND($C21="Goal",CC$7&gt;=$D21,CC$7&lt;=$D21+$F21-1),2,IF(AND($C21="Milestone",CC$7&gt;=$D21,CC$7&lt;=$D21+$F21-1),1,""))</f>
        <v/>
      </c>
      <c r="CD21" s="11" t="str">
        <f>IF(AND($C21="Goal",CD$7&gt;=$D21,CD$7&lt;=$D21+$F21-1),2,IF(AND($C21="Milestone",CD$7&gt;=$D21,CD$7&lt;=$D21+$F21-1),1,""))</f>
        <v/>
      </c>
      <c r="CE21" s="11" t="str">
        <f>IF(AND($C21="Goal",CE$7&gt;=$D21,CE$7&lt;=$D21+$F21-1),2,IF(AND($C21="Milestone",CE$7&gt;=$D21,CE$7&lt;=$D21+$F21-1),1,""))</f>
        <v/>
      </c>
      <c r="CF21" s="11" t="str">
        <f>IF(AND($C21="Goal",CF$7&gt;=$D21,CF$7&lt;=$D21+$F21-1),2,IF(AND($C21="Milestone",CF$7&gt;=$D21,CF$7&lt;=$D21+$F21-1),1,""))</f>
        <v/>
      </c>
      <c r="CG21" s="11" t="str">
        <f>IF(AND($C21="Goal",CG$7&gt;=$D21,CG$7&lt;=$D21+$F21-1),2,IF(AND($C21="Milestone",CG$7&gt;=$D21,CG$7&lt;=$D21+$F21-1),1,""))</f>
        <v/>
      </c>
      <c r="CH21" s="11" t="str">
        <f>IF(AND($C21="Goal",CH$7&gt;=$D21,CH$7&lt;=$D21+$F21-1),2,IF(AND($C21="Milestone",CH$7&gt;=$D21,CH$7&lt;=$D21+$F21-1),1,""))</f>
        <v/>
      </c>
      <c r="CI21" s="11" t="str">
        <f>IF(AND($C21="Goal",CI$7&gt;=$D21,CI$7&lt;=$D21+$F21-1),2,IF(AND($C21="Milestone",CI$7&gt;=$D21,CI$7&lt;=$D21+$F21-1),1,""))</f>
        <v/>
      </c>
      <c r="CJ21" s="11" t="str">
        <f>IF(AND($C21="Goal",CJ$7&gt;=$D21,CJ$7&lt;=$D21+$F21-1),2,IF(AND($C21="Milestone",CJ$7&gt;=$D21,CJ$7&lt;=$D21+$F21-1),1,""))</f>
        <v/>
      </c>
      <c r="CK21" s="11" t="str">
        <f>IF(AND($C21="Goal",CK$7&gt;=$D21,CK$7&lt;=$D21+$F21-1),2,IF(AND($C21="Milestone",CK$7&gt;=$D21,CK$7&lt;=$D21+$F21-1),1,""))</f>
        <v/>
      </c>
      <c r="CL21" s="11" t="str">
        <f>IF(AND($C21="Goal",CL$7&gt;=$D21,CL$7&lt;=$D21+$F21-1),2,IF(AND($C21="Milestone",CL$7&gt;=$D21,CL$7&lt;=$D21+$F21-1),1,""))</f>
        <v/>
      </c>
      <c r="CM21" s="11" t="str">
        <f>IF(AND($C21="Goal",CM$7&gt;=$D21,CM$7&lt;=$D21+$F21-1),2,IF(AND($C21="Milestone",CM$7&gt;=$D21,CM$7&lt;=$D21+$F21-1),1,""))</f>
        <v/>
      </c>
      <c r="CN21" s="11" t="str">
        <f>IF(AND($C21="Goal",CN$7&gt;=$D21,CN$7&lt;=$D21+$F21-1),2,IF(AND($C21="Milestone",CN$7&gt;=$D21,CN$7&lt;=$D21+$F21-1),1,""))</f>
        <v/>
      </c>
      <c r="CO21" s="11" t="str">
        <f>IF(AND($C21="Goal",CO$7&gt;=$D21,CO$7&lt;=$D21+$F21-1),2,IF(AND($C21="Milestone",CO$7&gt;=$D21,CO$7&lt;=$D21+$F21-1),1,""))</f>
        <v/>
      </c>
      <c r="CP21" s="11" t="str">
        <f>IF(AND($C21="Goal",CP$7&gt;=$D21,CP$7&lt;=$D21+$F21-1),2,IF(AND($C21="Milestone",CP$7&gt;=$D21,CP$7&lt;=$D21+$F21-1),1,""))</f>
        <v/>
      </c>
      <c r="CQ21" s="11" t="str">
        <f>IF(AND($C21="Goal",CQ$7&gt;=$D21,CQ$7&lt;=$D21+$F21-1),2,IF(AND($C21="Milestone",CQ$7&gt;=$D21,CQ$7&lt;=$D21+$F21-1),1,""))</f>
        <v/>
      </c>
      <c r="CR21" s="11" t="str">
        <f>IF(AND($C21="Goal",CR$7&gt;=$D21,CR$7&lt;=$D21+$F21-1),2,IF(AND($C21="Milestone",CR$7&gt;=$D21,CR$7&lt;=$D21+$F21-1),1,""))</f>
        <v/>
      </c>
      <c r="CS21" s="11" t="str">
        <f>IF(AND($C21="Goal",CS$7&gt;=$D21,CS$7&lt;=$D21+$F21-1),2,IF(AND($C21="Milestone",CS$7&gt;=$D21,CS$7&lt;=$D21+$F21-1),1,""))</f>
        <v/>
      </c>
      <c r="CT21" s="11" t="str">
        <f>IF(AND($C21="Goal",CT$7&gt;=$D21,CT$7&lt;=$D21+$F21-1),2,IF(AND($C21="Milestone",CT$7&gt;=$D21,CT$7&lt;=$D21+$F21-1),1,""))</f>
        <v/>
      </c>
      <c r="CU21" s="11" t="str">
        <f>IF(AND($C21="Goal",CU$7&gt;=$D21,CU$7&lt;=$D21+$F21-1),2,IF(AND($C21="Milestone",CU$7&gt;=$D21,CU$7&lt;=$D21+$F21-1),1,""))</f>
        <v/>
      </c>
      <c r="CV21" s="11" t="str">
        <f>IF(AND($C21="Goal",CV$7&gt;=$D21,CV$7&lt;=$D21+$F21-1),2,IF(AND($C21="Milestone",CV$7&gt;=$D21,CV$7&lt;=$D21+$F21-1),1,""))</f>
        <v/>
      </c>
      <c r="CW21" s="11" t="str">
        <f>IF(AND($C21="Goal",CW$7&gt;=$D21,CW$7&lt;=$D21+$F21-1),2,IF(AND($C21="Milestone",CW$7&gt;=$D21,CW$7&lt;=$D21+$F21-1),1,""))</f>
        <v/>
      </c>
      <c r="CX21" s="11" t="str">
        <f>IF(AND($C21="Goal",CX$7&gt;=$D21,CX$7&lt;=$D21+$F21-1),2,IF(AND($C21="Milestone",CX$7&gt;=$D21,CX$7&lt;=$D21+$F21-1),1,""))</f>
        <v/>
      </c>
      <c r="CY21" s="11" t="str">
        <f>IF(AND($C21="Goal",CY$7&gt;=$D21,CY$7&lt;=$D21+$F21-1),2,IF(AND($C21="Milestone",CY$7&gt;=$D21,CY$7&lt;=$D21+$F21-1),1,""))</f>
        <v/>
      </c>
      <c r="CZ21" s="11" t="str">
        <f>IF(AND($C21="Goal",CZ$7&gt;=$D21,CZ$7&lt;=$D21+$F21-1),2,IF(AND($C21="Milestone",CZ$7&gt;=$D21,CZ$7&lt;=$D21+$F21-1),1,""))</f>
        <v/>
      </c>
      <c r="DA21" s="11" t="str">
        <f>IF(AND($C21="Goal",DA$7&gt;=$D21,DA$7&lt;=$D21+$F21-1),2,IF(AND($C21="Milestone",DA$7&gt;=$D21,DA$7&lt;=$D21+$F21-1),1,""))</f>
        <v/>
      </c>
      <c r="DB21" s="11" t="str">
        <f>IF(AND($C21="Goal",DB$7&gt;=$D21,DB$7&lt;=$D21+$F21-1),2,IF(AND($C21="Milestone",DB$7&gt;=$D21,DB$7&lt;=$D21+$F21-1),1,""))</f>
        <v/>
      </c>
      <c r="DC21" s="11" t="str">
        <f>IF(AND($C21="Goal",DC$7&gt;=$D21,DC$7&lt;=$D21+$F21-1),2,IF(AND($C21="Milestone",DC$7&gt;=$D21,DC$7&lt;=$D21+$F21-1),1,""))</f>
        <v/>
      </c>
      <c r="DD21" s="11" t="str">
        <f>IF(AND($C21="Goal",DD$7&gt;=$D21,DD$7&lt;=$D21+$F21-1),2,IF(AND($C21="Milestone",DD$7&gt;=$D21,DD$7&lt;=$D21+$F21-1),1,""))</f>
        <v/>
      </c>
      <c r="DE21" s="11" t="str">
        <f>IF(AND($C21="Goal",DE$7&gt;=$D21,DE$7&lt;=$D21+$F21-1),2,IF(AND($C21="Milestone",DE$7&gt;=$D21,DE$7&lt;=$D21+$F21-1),1,""))</f>
        <v/>
      </c>
      <c r="DF21" s="11" t="str">
        <f>IF(AND($C21="Goal",DF$7&gt;=$D21,DF$7&lt;=$D21+$F21-1),2,IF(AND($C21="Milestone",DF$7&gt;=$D21,DF$7&lt;=$D21+$F21-1),1,""))</f>
        <v/>
      </c>
    </row>
    <row r="22" spans="1:110" s="1" customFormat="1" ht="40.15" customHeight="1" x14ac:dyDescent="0.35">
      <c r="A22" s="4"/>
      <c r="B22" s="43" t="s">
        <v>16</v>
      </c>
      <c r="C22" s="13" t="s">
        <v>3</v>
      </c>
      <c r="D22" s="14">
        <v>46007</v>
      </c>
      <c r="E22" s="14">
        <f>Milestones4352[[#This Row],[Ínicio]]+Milestones4352[[#This Row],[Nº Dias]]-1</f>
        <v>46037</v>
      </c>
      <c r="F22" s="15">
        <v>31</v>
      </c>
      <c r="G22" s="13"/>
      <c r="H22" s="11" t="str">
        <f>IF(AND($C22="Goal",H$7&gt;=$D22,H$7&lt;=$D22+$F22-1),2,IF(AND($C22="Milestone",H$7&gt;=$D22,H$7&lt;=$D22+$F22-1),1,""))</f>
        <v/>
      </c>
      <c r="I22" s="11" t="str">
        <f>IF(AND($C22="Goal",I$7&gt;=$D22,I$7&lt;=$D22+$F22-1),2,IF(AND($C22="Milestone",I$7&gt;=$D22,I$7&lt;=$D22+$F22-1),1,""))</f>
        <v/>
      </c>
      <c r="J22" s="11" t="str">
        <f>IF(AND($C22="Goal",J$7&gt;=$D22,J$7&lt;=$D22+$F22-1),2,IF(AND($C22="Milestone",J$7&gt;=$D22,J$7&lt;=$D22+$F22-1),1,""))</f>
        <v/>
      </c>
      <c r="K22" s="11" t="str">
        <f>IF(AND($C22="Goal",K$7&gt;=$D22,K$7&lt;=$D22+$F22-1),2,IF(AND($C22="Milestone",K$7&gt;=$D22,K$7&lt;=$D22+$F22-1),1,""))</f>
        <v/>
      </c>
      <c r="L22" s="11" t="str">
        <f>IF(AND($C22="Goal",L$7&gt;=$D22,L$7&lt;=$D22+$F22-1),2,IF(AND($C22="Milestone",L$7&gt;=$D22,L$7&lt;=$D22+$F22-1),1,""))</f>
        <v/>
      </c>
      <c r="M22" s="11" t="str">
        <f>IF(AND($C22="Goal",M$7&gt;=$D22,M$7&lt;=$D22+$F22-1),2,IF(AND($C22="Milestone",M$7&gt;=$D22,M$7&lt;=$D22+$F22-1),1,""))</f>
        <v/>
      </c>
      <c r="N22" s="11" t="str">
        <f>IF(AND($C22="Goal",N$7&gt;=$D22,N$7&lt;=$D22+$F22-1),2,IF(AND($C22="Milestone",N$7&gt;=$D22,N$7&lt;=$D22+$F22-1),1,""))</f>
        <v/>
      </c>
      <c r="O22" s="11" t="str">
        <f>IF(AND($C22="Goal",O$7&gt;=$D22,O$7&lt;=$D22+$F22-1),2,IF(AND($C22="Milestone",O$7&gt;=$D22,O$7&lt;=$D22+$F22-1),1,""))</f>
        <v/>
      </c>
      <c r="P22" s="11" t="str">
        <f>IF(AND($C22="Goal",P$7&gt;=$D22,P$7&lt;=$D22+$F22-1),2,IF(AND($C22="Milestone",P$7&gt;=$D22,P$7&lt;=$D22+$F22-1),1,""))</f>
        <v/>
      </c>
      <c r="Q22" s="11" t="str">
        <f>IF(AND($C22="Goal",Q$7&gt;=$D22,Q$7&lt;=$D22+$F22-1),2,IF(AND($C22="Milestone",Q$7&gt;=$D22,Q$7&lt;=$D22+$F22-1),1,""))</f>
        <v/>
      </c>
      <c r="R22" s="11" t="str">
        <f>IF(AND($C22="Goal",R$7&gt;=$D22,R$7&lt;=$D22+$F22-1),2,IF(AND($C22="Milestone",R$7&gt;=$D22,R$7&lt;=$D22+$F22-1),1,""))</f>
        <v/>
      </c>
      <c r="S22" s="11" t="str">
        <f>IF(AND($C22="Goal",S$7&gt;=$D22,S$7&lt;=$D22+$F22-1),2,IF(AND($C22="Milestone",S$7&gt;=$D22,S$7&lt;=$D22+$F22-1),1,""))</f>
        <v/>
      </c>
      <c r="T22" s="11" t="str">
        <f>IF(AND($C22="Goal",T$7&gt;=$D22,T$7&lt;=$D22+$F22-1),2,IF(AND($C22="Milestone",T$7&gt;=$D22,T$7&lt;=$D22+$F22-1),1,""))</f>
        <v/>
      </c>
      <c r="U22" s="11" t="str">
        <f>IF(AND($C22="Goal",U$7&gt;=$D22,U$7&lt;=$D22+$F22-1),2,IF(AND($C22="Milestone",U$7&gt;=$D22,U$7&lt;=$D22+$F22-1),1,""))</f>
        <v/>
      </c>
      <c r="V22" s="11" t="str">
        <f>IF(AND($C22="Goal",V$7&gt;=$D22,V$7&lt;=$D22+$F22-1),2,IF(AND($C22="Milestone",V$7&gt;=$D22,V$7&lt;=$D22+$F22-1),1,""))</f>
        <v/>
      </c>
      <c r="W22" s="11" t="str">
        <f>IF(AND($C22="Goal",W$7&gt;=$D22,W$7&lt;=$D22+$F22-1),2,IF(AND($C22="Milestone",W$7&gt;=$D22,W$7&lt;=$D22+$F22-1),1,""))</f>
        <v/>
      </c>
      <c r="X22" s="11" t="str">
        <f>IF(AND($C22="Goal",X$7&gt;=$D22,X$7&lt;=$D22+$F22-1),2,IF(AND($C22="Milestone",X$7&gt;=$D22,X$7&lt;=$D22+$F22-1),1,""))</f>
        <v/>
      </c>
      <c r="Y22" s="11" t="str">
        <f>IF(AND($C22="Goal",Y$7&gt;=$D22,Y$7&lt;=$D22+$F22-1),2,IF(AND($C22="Milestone",Y$7&gt;=$D22,Y$7&lt;=$D22+$F22-1),1,""))</f>
        <v/>
      </c>
      <c r="Z22" s="11" t="str">
        <f>IF(AND($C22="Goal",Z$7&gt;=$D22,Z$7&lt;=$D22+$F22-1),2,IF(AND($C22="Milestone",Z$7&gt;=$D22,Z$7&lt;=$D22+$F22-1),1,""))</f>
        <v/>
      </c>
      <c r="AA22" s="11" t="str">
        <f>IF(AND($C22="Goal",AA$7&gt;=$D22,AA$7&lt;=$D22+$F22-1),2,IF(AND($C22="Milestone",AA$7&gt;=$D22,AA$7&lt;=$D22+$F22-1),1,""))</f>
        <v/>
      </c>
      <c r="AB22" s="11" t="str">
        <f>IF(AND($C22="Goal",AB$7&gt;=$D22,AB$7&lt;=$D22+$F22-1),2,IF(AND($C22="Milestone",AB$7&gt;=$D22,AB$7&lt;=$D22+$F22-1),1,""))</f>
        <v/>
      </c>
      <c r="AC22" s="11" t="str">
        <f>IF(AND($C22="Goal",AC$7&gt;=$D22,AC$7&lt;=$D22+$F22-1),2,IF(AND($C22="Milestone",AC$7&gt;=$D22,AC$7&lt;=$D22+$F22-1),1,""))</f>
        <v/>
      </c>
      <c r="AD22" s="11" t="str">
        <f>IF(AND($C22="Goal",AD$7&gt;=$D22,AD$7&lt;=$D22+$F22-1),2,IF(AND($C22="Milestone",AD$7&gt;=$D22,AD$7&lt;=$D22+$F22-1),1,""))</f>
        <v/>
      </c>
      <c r="AE22" s="11" t="str">
        <f>IF(AND($C22="Goal",AE$7&gt;=$D22,AE$7&lt;=$D22+$F22-1),2,IF(AND($C22="Milestone",AE$7&gt;=$D22,AE$7&lt;=$D22+$F22-1),1,""))</f>
        <v/>
      </c>
      <c r="AF22" s="11" t="str">
        <f>IF(AND($C22="Goal",AF$7&gt;=$D22,AF$7&lt;=$D22+$F22-1),2,IF(AND($C22="Milestone",AF$7&gt;=$D22,AF$7&lt;=$D22+$F22-1),1,""))</f>
        <v/>
      </c>
      <c r="AG22" s="11" t="str">
        <f>IF(AND($C22="Goal",AG$7&gt;=$D22,AG$7&lt;=$D22+$F22-1),2,IF(AND($C22="Milestone",AG$7&gt;=$D22,AG$7&lt;=$D22+$F22-1),1,""))</f>
        <v/>
      </c>
      <c r="AH22" s="11" t="str">
        <f>IF(AND($C22="Goal",AH$7&gt;=$D22,AH$7&lt;=$D22+$F22-1),2,IF(AND($C22="Milestone",AH$7&gt;=$D22,AH$7&lt;=$D22+$F22-1),1,""))</f>
        <v/>
      </c>
      <c r="AI22" s="11" t="str">
        <f>IF(AND($C22="Goal",AI$7&gt;=$D22,AI$7&lt;=$D22+$F22-1),2,IF(AND($C22="Milestone",AI$7&gt;=$D22,AI$7&lt;=$D22+$F22-1),1,""))</f>
        <v/>
      </c>
      <c r="AJ22" s="11" t="str">
        <f>IF(AND($C22="Goal",AJ$7&gt;=$D22,AJ$7&lt;=$D22+$F22-1),2,IF(AND($C22="Milestone",AJ$7&gt;=$D22,AJ$7&lt;=$D22+$F22-1),1,""))</f>
        <v/>
      </c>
      <c r="AK22" s="11" t="str">
        <f>IF(AND($C22="Goal",AK$7&gt;=$D22,AK$7&lt;=$D22+$F22-1),2,IF(AND($C22="Milestone",AK$7&gt;=$D22,AK$7&lt;=$D22+$F22-1),1,""))</f>
        <v/>
      </c>
      <c r="AL22" s="11" t="str">
        <f>IF(AND($C22="Goal",AL$7&gt;=$D22,AL$7&lt;=$D22+$F22-1),2,IF(AND($C22="Milestone",AL$7&gt;=$D22,AL$7&lt;=$D22+$F22-1),1,""))</f>
        <v/>
      </c>
      <c r="AM22" s="11" t="str">
        <f>IF(AND($C22="Goal",AM$7&gt;=$D22,AM$7&lt;=$D22+$F22-1),2,IF(AND($C22="Milestone",AM$7&gt;=$D22,AM$7&lt;=$D22+$F22-1),1,""))</f>
        <v/>
      </c>
      <c r="AN22" s="11" t="str">
        <f>IF(AND($C22="Goal",AN$7&gt;=$D22,AN$7&lt;=$D22+$F22-1),2,IF(AND($C22="Milestone",AN$7&gt;=$D22,AN$7&lt;=$D22+$F22-1),1,""))</f>
        <v/>
      </c>
      <c r="AO22" s="11" t="str">
        <f>IF(AND($C22="Goal",AO$7&gt;=$D22,AO$7&lt;=$D22+$F22-1),2,IF(AND($C22="Milestone",AO$7&gt;=$D22,AO$7&lt;=$D22+$F22-1),1,""))</f>
        <v/>
      </c>
      <c r="AP22" s="11" t="str">
        <f>IF(AND($C22="Goal",AP$7&gt;=$D22,AP$7&lt;=$D22+$F22-1),2,IF(AND($C22="Milestone",AP$7&gt;=$D22,AP$7&lt;=$D22+$F22-1),1,""))</f>
        <v/>
      </c>
      <c r="AQ22" s="11" t="str">
        <f>IF(AND($C22="Goal",AQ$7&gt;=$D22,AQ$7&lt;=$D22+$F22-1),2,IF(AND($C22="Milestone",AQ$7&gt;=$D22,AQ$7&lt;=$D22+$F22-1),1,""))</f>
        <v/>
      </c>
      <c r="AR22" s="11" t="str">
        <f>IF(AND($C22="Goal",AR$7&gt;=$D22,AR$7&lt;=$D22+$F22-1),2,IF(AND($C22="Milestone",AR$7&gt;=$D22,AR$7&lt;=$D22+$F22-1),1,""))</f>
        <v/>
      </c>
      <c r="AS22" s="11" t="str">
        <f>IF(AND($C22="Goal",AS$7&gt;=$D22,AS$7&lt;=$D22+$F22-1),2,IF(AND($C22="Milestone",AS$7&gt;=$D22,AS$7&lt;=$D22+$F22-1),1,""))</f>
        <v/>
      </c>
      <c r="AT22" s="11" t="str">
        <f>IF(AND($C22="Goal",AT$7&gt;=$D22,AT$7&lt;=$D22+$F22-1),2,IF(AND($C22="Milestone",AT$7&gt;=$D22,AT$7&lt;=$D22+$F22-1),1,""))</f>
        <v/>
      </c>
      <c r="AU22" s="11" t="str">
        <f>IF(AND($C22="Goal",AU$7&gt;=$D22,AU$7&lt;=$D22+$F22-1),2,IF(AND($C22="Milestone",AU$7&gt;=$D22,AU$7&lt;=$D22+$F22-1),1,""))</f>
        <v/>
      </c>
      <c r="AV22" s="11" t="str">
        <f>IF(AND($C22="Goal",AV$7&gt;=$D22,AV$7&lt;=$D22+$F22-1),2,IF(AND($C22="Milestone",AV$7&gt;=$D22,AV$7&lt;=$D22+$F22-1),1,""))</f>
        <v/>
      </c>
      <c r="AW22" s="11" t="str">
        <f>IF(AND($C22="Goal",AW$7&gt;=$D22,AW$7&lt;=$D22+$F22-1),2,IF(AND($C22="Milestone",AW$7&gt;=$D22,AW$7&lt;=$D22+$F22-1),1,""))</f>
        <v/>
      </c>
      <c r="AX22" s="11" t="str">
        <f>IF(AND($C22="Goal",AX$7&gt;=$D22,AX$7&lt;=$D22+$F22-1),2,IF(AND($C22="Milestone",AX$7&gt;=$D22,AX$7&lt;=$D22+$F22-1),1,""))</f>
        <v/>
      </c>
      <c r="AY22" s="11" t="str">
        <f>IF(AND($C22="Goal",AY$7&gt;=$D22,AY$7&lt;=$D22+$F22-1),2,IF(AND($C22="Milestone",AY$7&gt;=$D22,AY$7&lt;=$D22+$F22-1),1,""))</f>
        <v/>
      </c>
      <c r="AZ22" s="11" t="str">
        <f>IF(AND($C22="Goal",AZ$7&gt;=$D22,AZ$7&lt;=$D22+$F22-1),2,IF(AND($C22="Milestone",AZ$7&gt;=$D22,AZ$7&lt;=$D22+$F22-1),1,""))</f>
        <v/>
      </c>
      <c r="BA22" s="11" t="str">
        <f>IF(AND($C22="Goal",BA$7&gt;=$D22,BA$7&lt;=$D22+$F22-1),2,IF(AND($C22="Milestone",BA$7&gt;=$D22,BA$7&lt;=$D22+$F22-1),1,""))</f>
        <v/>
      </c>
      <c r="BB22" s="11" t="str">
        <f>IF(AND($C22="Goal",BB$7&gt;=$D22,BB$7&lt;=$D22+$F22-1),2,IF(AND($C22="Milestone",BB$7&gt;=$D22,BB$7&lt;=$D22+$F22-1),1,""))</f>
        <v/>
      </c>
      <c r="BC22" s="11" t="str">
        <f>IF(AND($C22="Goal",BC$7&gt;=$D22,BC$7&lt;=$D22+$F22-1),2,IF(AND($C22="Milestone",BC$7&gt;=$D22,BC$7&lt;=$D22+$F22-1),1,""))</f>
        <v/>
      </c>
      <c r="BD22" s="11" t="str">
        <f>IF(AND($C22="Goal",BD$7&gt;=$D22,BD$7&lt;=$D22+$F22-1),2,IF(AND($C22="Milestone",BD$7&gt;=$D22,BD$7&lt;=$D22+$F22-1),1,""))</f>
        <v/>
      </c>
      <c r="BE22" s="11" t="str">
        <f>IF(AND($C22="Goal",BE$7&gt;=$D22,BE$7&lt;=$D22+$F22-1),2,IF(AND($C22="Milestone",BE$7&gt;=$D22,BE$7&lt;=$D22+$F22-1),1,""))</f>
        <v/>
      </c>
      <c r="BF22" s="11" t="str">
        <f>IF(AND($C22="Goal",BF$7&gt;=$D22,BF$7&lt;=$D22+$F22-1),2,IF(AND($C22="Milestone",BF$7&gt;=$D22,BF$7&lt;=$D22+$F22-1),1,""))</f>
        <v/>
      </c>
      <c r="BG22" s="11" t="str">
        <f>IF(AND($C22="Goal",BG$7&gt;=$D22,BG$7&lt;=$D22+$F22-1),2,IF(AND($C22="Milestone",BG$7&gt;=$D22,BG$7&lt;=$D22+$F22-1),1,""))</f>
        <v/>
      </c>
      <c r="BH22" s="11" t="str">
        <f>IF(AND($C22="Goal",BH$7&gt;=$D22,BH$7&lt;=$D22+$F22-1),2,IF(AND($C22="Milestone",BH$7&gt;=$D22,BH$7&lt;=$D22+$F22-1),1,""))</f>
        <v/>
      </c>
      <c r="BI22" s="11" t="str">
        <f>IF(AND($C22="Goal",BI$7&gt;=$D22,BI$7&lt;=$D22+$F22-1),2,IF(AND($C22="Milestone",BI$7&gt;=$D22,BI$7&lt;=$D22+$F22-1),1,""))</f>
        <v/>
      </c>
      <c r="BJ22" s="11" t="str">
        <f>IF(AND($C22="Goal",BJ$7&gt;=$D22,BJ$7&lt;=$D22+$F22-1),2,IF(AND($C22="Milestone",BJ$7&gt;=$D22,BJ$7&lt;=$D22+$F22-1),1,""))</f>
        <v/>
      </c>
      <c r="BK22" s="11" t="str">
        <f>IF(AND($C22="Goal",BK$7&gt;=$D22,BK$7&lt;=$D22+$F22-1),2,IF(AND($C22="Milestone",BK$7&gt;=$D22,BK$7&lt;=$D22+$F22-1),1,""))</f>
        <v/>
      </c>
      <c r="BL22" s="11" t="str">
        <f>IF(AND($C22="Goal",BL$7&gt;=$D22,BL$7&lt;=$D22+$F22-1),2,IF(AND($C22="Milestone",BL$7&gt;=$D22,BL$7&lt;=$D22+$F22-1),1,""))</f>
        <v/>
      </c>
      <c r="BM22" s="11" t="str">
        <f>IF(AND($C22="Goal",BM$7&gt;=$D22,BM$7&lt;=$D22+$F22-1),2,IF(AND($C22="Milestone",BM$7&gt;=$D22,BM$7&lt;=$D22+$F22-1),1,""))</f>
        <v/>
      </c>
      <c r="BN22" s="11" t="str">
        <f>IF(AND($C22="Goal",BN$7&gt;=$D22,BN$7&lt;=$D22+$F22-1),2,IF(AND($C22="Milestone",BN$7&gt;=$D22,BN$7&lt;=$D22+$F22-1),1,""))</f>
        <v/>
      </c>
      <c r="BO22" s="11" t="str">
        <f>IF(AND($C22="Goal",BO$7&gt;=$D22,BO$7&lt;=$D22+$F22-1),2,IF(AND($C22="Milestone",BO$7&gt;=$D22,BO$7&lt;=$D22+$F22-1),1,""))</f>
        <v/>
      </c>
      <c r="BP22" s="11" t="str">
        <f>IF(AND($C22="Goal",BP$7&gt;=$D22,BP$7&lt;=$D22+$F22-1),2,IF(AND($C22="Milestone",BP$7&gt;=$D22,BP$7&lt;=$D22+$F22-1),1,""))</f>
        <v/>
      </c>
      <c r="BQ22" s="11" t="str">
        <f>IF(AND($C22="Goal",BQ$7&gt;=$D22,BQ$7&lt;=$D22+$F22-1),2,IF(AND($C22="Milestone",BQ$7&gt;=$D22,BQ$7&lt;=$D22+$F22-1),1,""))</f>
        <v/>
      </c>
      <c r="BR22" s="11" t="str">
        <f>IF(AND($C22="Goal",BR$7&gt;=$D22,BR$7&lt;=$D22+$F22-1),2,IF(AND($C22="Milestone",BR$7&gt;=$D22,BR$7&lt;=$D22+$F22-1),1,""))</f>
        <v/>
      </c>
      <c r="BS22" s="11" t="str">
        <f>IF(AND($C22="Goal",BS$7&gt;=$D22,BS$7&lt;=$D22+$F22-1),2,IF(AND($C22="Milestone",BS$7&gt;=$D22,BS$7&lt;=$D22+$F22-1),1,""))</f>
        <v/>
      </c>
      <c r="BT22" s="11" t="str">
        <f>IF(AND($C22="Goal",BT$7&gt;=$D22,BT$7&lt;=$D22+$F22-1),2,IF(AND($C22="Milestone",BT$7&gt;=$D22,BT$7&lt;=$D22+$F22-1),1,""))</f>
        <v/>
      </c>
      <c r="BU22" s="11" t="str">
        <f>IF(AND($C22="Goal",BU$7&gt;=$D22,BU$7&lt;=$D22+$F22-1),2,IF(AND($C22="Milestone",BU$7&gt;=$D22,BU$7&lt;=$D22+$F22-1),1,""))</f>
        <v/>
      </c>
      <c r="BV22" s="11" t="str">
        <f>IF(AND($C22="Goal",BV$7&gt;=$D22,BV$7&lt;=$D22+$F22-1),2,IF(AND($C22="Milestone",BV$7&gt;=$D22,BV$7&lt;=$D22+$F22-1),1,""))</f>
        <v/>
      </c>
      <c r="BW22" s="11" t="str">
        <f>IF(AND($C22="Goal",BW$7&gt;=$D22,BW$7&lt;=$D22+$F22-1),2,IF(AND($C22="Milestone",BW$7&gt;=$D22,BW$7&lt;=$D22+$F22-1),1,""))</f>
        <v/>
      </c>
      <c r="BX22" s="11" t="str">
        <f>IF(AND($C22="Goal",BX$7&gt;=$D22,BX$7&lt;=$D22+$F22-1),2,IF(AND($C22="Milestone",BX$7&gt;=$D22,BX$7&lt;=$D22+$F22-1),1,""))</f>
        <v/>
      </c>
      <c r="BY22" s="11" t="str">
        <f>IF(AND($C22="Goal",BY$7&gt;=$D22,BY$7&lt;=$D22+$F22-1),2,IF(AND($C22="Milestone",BY$7&gt;=$D22,BY$7&lt;=$D22+$F22-1),1,""))</f>
        <v/>
      </c>
      <c r="BZ22" s="11" t="str">
        <f>IF(AND($C22="Goal",BZ$7&gt;=$D22,BZ$7&lt;=$D22+$F22-1),2,IF(AND($C22="Milestone",BZ$7&gt;=$D22,BZ$7&lt;=$D22+$F22-1),1,""))</f>
        <v/>
      </c>
      <c r="CA22" s="11" t="str">
        <f>IF(AND($C22="Goal",CA$7&gt;=$D22,CA$7&lt;=$D22+$F22-1),2,IF(AND($C22="Milestone",CA$7&gt;=$D22,CA$7&lt;=$D22+$F22-1),1,""))</f>
        <v/>
      </c>
      <c r="CB22" s="11" t="str">
        <f>IF(AND($C22="Goal",CB$7&gt;=$D22,CB$7&lt;=$D22+$F22-1),2,IF(AND($C22="Milestone",CB$7&gt;=$D22,CB$7&lt;=$D22+$F22-1),1,""))</f>
        <v/>
      </c>
      <c r="CC22" s="11" t="str">
        <f>IF(AND($C22="Goal",CC$7&gt;=$D22,CC$7&lt;=$D22+$F22-1),2,IF(AND($C22="Milestone",CC$7&gt;=$D22,CC$7&lt;=$D22+$F22-1),1,""))</f>
        <v/>
      </c>
      <c r="CD22" s="11" t="str">
        <f>IF(AND($C22="Goal",CD$7&gt;=$D22,CD$7&lt;=$D22+$F22-1),2,IF(AND($C22="Milestone",CD$7&gt;=$D22,CD$7&lt;=$D22+$F22-1),1,""))</f>
        <v/>
      </c>
      <c r="CE22" s="11" t="str">
        <f>IF(AND($C22="Goal",CE$7&gt;=$D22,CE$7&lt;=$D22+$F22-1),2,IF(AND($C22="Milestone",CE$7&gt;=$D22,CE$7&lt;=$D22+$F22-1),1,""))</f>
        <v/>
      </c>
      <c r="CF22" s="11" t="str">
        <f>IF(AND($C22="Goal",CF$7&gt;=$D22,CF$7&lt;=$D22+$F22-1),2,IF(AND($C22="Milestone",CF$7&gt;=$D22,CF$7&lt;=$D22+$F22-1),1,""))</f>
        <v/>
      </c>
      <c r="CG22" s="11" t="str">
        <f>IF(AND($C22="Goal",CG$7&gt;=$D22,CG$7&lt;=$D22+$F22-1),2,IF(AND($C22="Milestone",CG$7&gt;=$D22,CG$7&lt;=$D22+$F22-1),1,""))</f>
        <v/>
      </c>
      <c r="CH22" s="11" t="str">
        <f>IF(AND($C22="Goal",CH$7&gt;=$D22,CH$7&lt;=$D22+$F22-1),2,IF(AND($C22="Milestone",CH$7&gt;=$D22,CH$7&lt;=$D22+$F22-1),1,""))</f>
        <v/>
      </c>
      <c r="CI22" s="11" t="str">
        <f>IF(AND($C22="Goal",CI$7&gt;=$D22,CI$7&lt;=$D22+$F22-1),2,IF(AND($C22="Milestone",CI$7&gt;=$D22,CI$7&lt;=$D22+$F22-1),1,""))</f>
        <v/>
      </c>
      <c r="CJ22" s="11" t="str">
        <f>IF(AND($C22="Goal",CJ$7&gt;=$D22,CJ$7&lt;=$D22+$F22-1),2,IF(AND($C22="Milestone",CJ$7&gt;=$D22,CJ$7&lt;=$D22+$F22-1),1,""))</f>
        <v/>
      </c>
      <c r="CK22" s="11" t="str">
        <f>IF(AND($C22="Goal",CK$7&gt;=$D22,CK$7&lt;=$D22+$F22-1),2,IF(AND($C22="Milestone",CK$7&gt;=$D22,CK$7&lt;=$D22+$F22-1),1,""))</f>
        <v/>
      </c>
      <c r="CL22" s="11" t="str">
        <f>IF(AND($C22="Goal",CL$7&gt;=$D22,CL$7&lt;=$D22+$F22-1),2,IF(AND($C22="Milestone",CL$7&gt;=$D22,CL$7&lt;=$D22+$F22-1),1,""))</f>
        <v/>
      </c>
      <c r="CM22" s="11" t="str">
        <f>IF(AND($C22="Goal",CM$7&gt;=$D22,CM$7&lt;=$D22+$F22-1),2,IF(AND($C22="Milestone",CM$7&gt;=$D22,CM$7&lt;=$D22+$F22-1),1,""))</f>
        <v/>
      </c>
      <c r="CN22" s="11" t="str">
        <f>IF(AND($C22="Goal",CN$7&gt;=$D22,CN$7&lt;=$D22+$F22-1),2,IF(AND($C22="Milestone",CN$7&gt;=$D22,CN$7&lt;=$D22+$F22-1),1,""))</f>
        <v/>
      </c>
      <c r="CO22" s="11" t="str">
        <f>IF(AND($C22="Goal",CO$7&gt;=$D22,CO$7&lt;=$D22+$F22-1),2,IF(AND($C22="Milestone",CO$7&gt;=$D22,CO$7&lt;=$D22+$F22-1),1,""))</f>
        <v/>
      </c>
      <c r="CP22" s="11" t="str">
        <f>IF(AND($C22="Goal",CP$7&gt;=$D22,CP$7&lt;=$D22+$F22-1),2,IF(AND($C22="Milestone",CP$7&gt;=$D22,CP$7&lt;=$D22+$F22-1),1,""))</f>
        <v/>
      </c>
      <c r="CQ22" s="11" t="str">
        <f>IF(AND($C22="Goal",CQ$7&gt;=$D22,CQ$7&lt;=$D22+$F22-1),2,IF(AND($C22="Milestone",CQ$7&gt;=$D22,CQ$7&lt;=$D22+$F22-1),1,""))</f>
        <v/>
      </c>
      <c r="CR22" s="11" t="str">
        <f>IF(AND($C22="Goal",CR$7&gt;=$D22,CR$7&lt;=$D22+$F22-1),2,IF(AND($C22="Milestone",CR$7&gt;=$D22,CR$7&lt;=$D22+$F22-1),1,""))</f>
        <v/>
      </c>
      <c r="CS22" s="11" t="str">
        <f>IF(AND($C22="Goal",CS$7&gt;=$D22,CS$7&lt;=$D22+$F22-1),2,IF(AND($C22="Milestone",CS$7&gt;=$D22,CS$7&lt;=$D22+$F22-1),1,""))</f>
        <v/>
      </c>
      <c r="CT22" s="11" t="str">
        <f>IF(AND($C22="Goal",CT$7&gt;=$D22,CT$7&lt;=$D22+$F22-1),2,IF(AND($C22="Milestone",CT$7&gt;=$D22,CT$7&lt;=$D22+$F22-1),1,""))</f>
        <v/>
      </c>
      <c r="CU22" s="11" t="str">
        <f>IF(AND($C22="Goal",CU$7&gt;=$D22,CU$7&lt;=$D22+$F22-1),2,IF(AND($C22="Milestone",CU$7&gt;=$D22,CU$7&lt;=$D22+$F22-1),1,""))</f>
        <v/>
      </c>
      <c r="CV22" s="11" t="str">
        <f>IF(AND($C22="Goal",CV$7&gt;=$D22,CV$7&lt;=$D22+$F22-1),2,IF(AND($C22="Milestone",CV$7&gt;=$D22,CV$7&lt;=$D22+$F22-1),1,""))</f>
        <v/>
      </c>
      <c r="CW22" s="11" t="str">
        <f>IF(AND($C22="Goal",CW$7&gt;=$D22,CW$7&lt;=$D22+$F22-1),2,IF(AND($C22="Milestone",CW$7&gt;=$D22,CW$7&lt;=$D22+$F22-1),1,""))</f>
        <v/>
      </c>
      <c r="CX22" s="11" t="str">
        <f>IF(AND($C22="Goal",CX$7&gt;=$D22,CX$7&lt;=$D22+$F22-1),2,IF(AND($C22="Milestone",CX$7&gt;=$D22,CX$7&lt;=$D22+$F22-1),1,""))</f>
        <v/>
      </c>
      <c r="CY22" s="11" t="str">
        <f>IF(AND($C22="Goal",CY$7&gt;=$D22,CY$7&lt;=$D22+$F22-1),2,IF(AND($C22="Milestone",CY$7&gt;=$D22,CY$7&lt;=$D22+$F22-1),1,""))</f>
        <v/>
      </c>
      <c r="CZ22" s="11" t="str">
        <f>IF(AND($C22="Goal",CZ$7&gt;=$D22,CZ$7&lt;=$D22+$F22-1),2,IF(AND($C22="Milestone",CZ$7&gt;=$D22,CZ$7&lt;=$D22+$F22-1),1,""))</f>
        <v/>
      </c>
      <c r="DA22" s="11" t="str">
        <f>IF(AND($C22="Goal",DA$7&gt;=$D22,DA$7&lt;=$D22+$F22-1),2,IF(AND($C22="Milestone",DA$7&gt;=$D22,DA$7&lt;=$D22+$F22-1),1,""))</f>
        <v/>
      </c>
      <c r="DB22" s="11" t="str">
        <f>IF(AND($C22="Goal",DB$7&gt;=$D22,DB$7&lt;=$D22+$F22-1),2,IF(AND($C22="Milestone",DB$7&gt;=$D22,DB$7&lt;=$D22+$F22-1),1,""))</f>
        <v/>
      </c>
      <c r="DC22" s="11" t="str">
        <f>IF(AND($C22="Goal",DC$7&gt;=$D22,DC$7&lt;=$D22+$F22-1),2,IF(AND($C22="Milestone",DC$7&gt;=$D22,DC$7&lt;=$D22+$F22-1),1,""))</f>
        <v/>
      </c>
      <c r="DD22" s="11" t="str">
        <f>IF(AND($C22="Goal",DD$7&gt;=$D22,DD$7&lt;=$D22+$F22-1),2,IF(AND($C22="Milestone",DD$7&gt;=$D22,DD$7&lt;=$D22+$F22-1),1,""))</f>
        <v/>
      </c>
      <c r="DE22" s="11" t="str">
        <f>IF(AND($C22="Goal",DE$7&gt;=$D22,DE$7&lt;=$D22+$F22-1),2,IF(AND($C22="Milestone",DE$7&gt;=$D22,DE$7&lt;=$D22+$F22-1),1,""))</f>
        <v/>
      </c>
      <c r="DF22" s="11" t="str">
        <f>IF(AND($C22="Goal",DF$7&gt;=$D22,DF$7&lt;=$D22+$F22-1),2,IF(AND($C22="Milestone",DF$7&gt;=$D22,DF$7&lt;=$D22+$F22-1),1,""))</f>
        <v/>
      </c>
    </row>
    <row r="23" spans="1:110" s="1" customFormat="1" ht="40.15" customHeight="1" x14ac:dyDescent="0.35">
      <c r="A23" s="4"/>
      <c r="B23" s="43" t="s">
        <v>17</v>
      </c>
      <c r="C23" s="13" t="s">
        <v>3</v>
      </c>
      <c r="D23" s="14">
        <v>46024</v>
      </c>
      <c r="E23" s="14">
        <f>Milestones4352[[#This Row],[Ínicio]]+Milestones4352[[#This Row],[Nº Dias]]-1</f>
        <v>46052</v>
      </c>
      <c r="F23" s="15">
        <v>29</v>
      </c>
      <c r="G23" s="13"/>
      <c r="H23" s="11" t="str">
        <f>IF(AND($C23="Goal",H$7&gt;=$D23,H$7&lt;=$D23+$F23-1),2,IF(AND($C23="Milestone",H$7&gt;=$D23,H$7&lt;=$D23+$F23-1),1,""))</f>
        <v/>
      </c>
      <c r="I23" s="11" t="str">
        <f>IF(AND($C23="Goal",I$7&gt;=$D23,I$7&lt;=$D23+$F23-1),2,IF(AND($C23="Milestone",I$7&gt;=$D23,I$7&lt;=$D23+$F23-1),1,""))</f>
        <v/>
      </c>
      <c r="J23" s="11" t="str">
        <f>IF(AND($C23="Goal",J$7&gt;=$D23,J$7&lt;=$D23+$F23-1),2,IF(AND($C23="Milestone",J$7&gt;=$D23,J$7&lt;=$D23+$F23-1),1,""))</f>
        <v/>
      </c>
      <c r="K23" s="11" t="str">
        <f>IF(AND($C23="Goal",K$7&gt;=$D23,K$7&lt;=$D23+$F23-1),2,IF(AND($C23="Milestone",K$7&gt;=$D23,K$7&lt;=$D23+$F23-1),1,""))</f>
        <v/>
      </c>
      <c r="L23" s="11" t="str">
        <f>IF(AND($C23="Goal",L$7&gt;=$D23,L$7&lt;=$D23+$F23-1),2,IF(AND($C23="Milestone",L$7&gt;=$D23,L$7&lt;=$D23+$F23-1),1,""))</f>
        <v/>
      </c>
      <c r="M23" s="11" t="str">
        <f>IF(AND($C23="Goal",M$7&gt;=$D23,M$7&lt;=$D23+$F23-1),2,IF(AND($C23="Milestone",M$7&gt;=$D23,M$7&lt;=$D23+$F23-1),1,""))</f>
        <v/>
      </c>
      <c r="N23" s="11" t="str">
        <f>IF(AND($C23="Goal",N$7&gt;=$D23,N$7&lt;=$D23+$F23-1),2,IF(AND($C23="Milestone",N$7&gt;=$D23,N$7&lt;=$D23+$F23-1),1,""))</f>
        <v/>
      </c>
      <c r="O23" s="11" t="str">
        <f>IF(AND($C23="Goal",O$7&gt;=$D23,O$7&lt;=$D23+$F23-1),2,IF(AND($C23="Milestone",O$7&gt;=$D23,O$7&lt;=$D23+$F23-1),1,""))</f>
        <v/>
      </c>
      <c r="P23" s="11" t="str">
        <f>IF(AND($C23="Goal",P$7&gt;=$D23,P$7&lt;=$D23+$F23-1),2,IF(AND($C23="Milestone",P$7&gt;=$D23,P$7&lt;=$D23+$F23-1),1,""))</f>
        <v/>
      </c>
      <c r="Q23" s="11" t="str">
        <f>IF(AND($C23="Goal",Q$7&gt;=$D23,Q$7&lt;=$D23+$F23-1),2,IF(AND($C23="Milestone",Q$7&gt;=$D23,Q$7&lt;=$D23+$F23-1),1,""))</f>
        <v/>
      </c>
      <c r="R23" s="11" t="str">
        <f>IF(AND($C23="Goal",R$7&gt;=$D23,R$7&lt;=$D23+$F23-1),2,IF(AND($C23="Milestone",R$7&gt;=$D23,R$7&lt;=$D23+$F23-1),1,""))</f>
        <v/>
      </c>
      <c r="S23" s="11" t="str">
        <f>IF(AND($C23="Goal",S$7&gt;=$D23,S$7&lt;=$D23+$F23-1),2,IF(AND($C23="Milestone",S$7&gt;=$D23,S$7&lt;=$D23+$F23-1),1,""))</f>
        <v/>
      </c>
      <c r="T23" s="11" t="str">
        <f>IF(AND($C23="Goal",T$7&gt;=$D23,T$7&lt;=$D23+$F23-1),2,IF(AND($C23="Milestone",T$7&gt;=$D23,T$7&lt;=$D23+$F23-1),1,""))</f>
        <v/>
      </c>
      <c r="U23" s="11" t="str">
        <f>IF(AND($C23="Goal",U$7&gt;=$D23,U$7&lt;=$D23+$F23-1),2,IF(AND($C23="Milestone",U$7&gt;=$D23,U$7&lt;=$D23+$F23-1),1,""))</f>
        <v/>
      </c>
      <c r="V23" s="11" t="str">
        <f>IF(AND($C23="Goal",V$7&gt;=$D23,V$7&lt;=$D23+$F23-1),2,IF(AND($C23="Milestone",V$7&gt;=$D23,V$7&lt;=$D23+$F23-1),1,""))</f>
        <v/>
      </c>
      <c r="W23" s="11" t="str">
        <f>IF(AND($C23="Goal",W$7&gt;=$D23,W$7&lt;=$D23+$F23-1),2,IF(AND($C23="Milestone",W$7&gt;=$D23,W$7&lt;=$D23+$F23-1),1,""))</f>
        <v/>
      </c>
      <c r="X23" s="11" t="str">
        <f>IF(AND($C23="Goal",X$7&gt;=$D23,X$7&lt;=$D23+$F23-1),2,IF(AND($C23="Milestone",X$7&gt;=$D23,X$7&lt;=$D23+$F23-1),1,""))</f>
        <v/>
      </c>
      <c r="Y23" s="11" t="str">
        <f>IF(AND($C23="Goal",Y$7&gt;=$D23,Y$7&lt;=$D23+$F23-1),2,IF(AND($C23="Milestone",Y$7&gt;=$D23,Y$7&lt;=$D23+$F23-1),1,""))</f>
        <v/>
      </c>
      <c r="Z23" s="11" t="str">
        <f>IF(AND($C23="Goal",Z$7&gt;=$D23,Z$7&lt;=$D23+$F23-1),2,IF(AND($C23="Milestone",Z$7&gt;=$D23,Z$7&lt;=$D23+$F23-1),1,""))</f>
        <v/>
      </c>
      <c r="AA23" s="11" t="str">
        <f>IF(AND($C23="Goal",AA$7&gt;=$D23,AA$7&lt;=$D23+$F23-1),2,IF(AND($C23="Milestone",AA$7&gt;=$D23,AA$7&lt;=$D23+$F23-1),1,""))</f>
        <v/>
      </c>
      <c r="AB23" s="11" t="str">
        <f>IF(AND($C23="Goal",AB$7&gt;=$D23,AB$7&lt;=$D23+$F23-1),2,IF(AND($C23="Milestone",AB$7&gt;=$D23,AB$7&lt;=$D23+$F23-1),1,""))</f>
        <v/>
      </c>
      <c r="AC23" s="11" t="str">
        <f>IF(AND($C23="Goal",AC$7&gt;=$D23,AC$7&lt;=$D23+$F23-1),2,IF(AND($C23="Milestone",AC$7&gt;=$D23,AC$7&lt;=$D23+$F23-1),1,""))</f>
        <v/>
      </c>
      <c r="AD23" s="11" t="str">
        <f>IF(AND($C23="Goal",AD$7&gt;=$D23,AD$7&lt;=$D23+$F23-1),2,IF(AND($C23="Milestone",AD$7&gt;=$D23,AD$7&lt;=$D23+$F23-1),1,""))</f>
        <v/>
      </c>
      <c r="AE23" s="11" t="str">
        <f>IF(AND($C23="Goal",AE$7&gt;=$D23,AE$7&lt;=$D23+$F23-1),2,IF(AND($C23="Milestone",AE$7&gt;=$D23,AE$7&lt;=$D23+$F23-1),1,""))</f>
        <v/>
      </c>
      <c r="AF23" s="11" t="str">
        <f>IF(AND($C23="Goal",AF$7&gt;=$D23,AF$7&lt;=$D23+$F23-1),2,IF(AND($C23="Milestone",AF$7&gt;=$D23,AF$7&lt;=$D23+$F23-1),1,""))</f>
        <v/>
      </c>
      <c r="AG23" s="11" t="str">
        <f>IF(AND($C23="Goal",AG$7&gt;=$D23,AG$7&lt;=$D23+$F23-1),2,IF(AND($C23="Milestone",AG$7&gt;=$D23,AG$7&lt;=$D23+$F23-1),1,""))</f>
        <v/>
      </c>
      <c r="AH23" s="11" t="str">
        <f>IF(AND($C23="Goal",AH$7&gt;=$D23,AH$7&lt;=$D23+$F23-1),2,IF(AND($C23="Milestone",AH$7&gt;=$D23,AH$7&lt;=$D23+$F23-1),1,""))</f>
        <v/>
      </c>
      <c r="AI23" s="11" t="str">
        <f>IF(AND($C23="Goal",AI$7&gt;=$D23,AI$7&lt;=$D23+$F23-1),2,IF(AND($C23="Milestone",AI$7&gt;=$D23,AI$7&lt;=$D23+$F23-1),1,""))</f>
        <v/>
      </c>
      <c r="AJ23" s="11" t="str">
        <f>IF(AND($C23="Goal",AJ$7&gt;=$D23,AJ$7&lt;=$D23+$F23-1),2,IF(AND($C23="Milestone",AJ$7&gt;=$D23,AJ$7&lt;=$D23+$F23-1),1,""))</f>
        <v/>
      </c>
      <c r="AK23" s="11" t="str">
        <f>IF(AND($C23="Goal",AK$7&gt;=$D23,AK$7&lt;=$D23+$F23-1),2,IF(AND($C23="Milestone",AK$7&gt;=$D23,AK$7&lt;=$D23+$F23-1),1,""))</f>
        <v/>
      </c>
      <c r="AL23" s="11" t="str">
        <f>IF(AND($C23="Goal",AL$7&gt;=$D23,AL$7&lt;=$D23+$F23-1),2,IF(AND($C23="Milestone",AL$7&gt;=$D23,AL$7&lt;=$D23+$F23-1),1,""))</f>
        <v/>
      </c>
      <c r="AM23" s="11" t="str">
        <f>IF(AND($C23="Goal",AM$7&gt;=$D23,AM$7&lt;=$D23+$F23-1),2,IF(AND($C23="Milestone",AM$7&gt;=$D23,AM$7&lt;=$D23+$F23-1),1,""))</f>
        <v/>
      </c>
      <c r="AN23" s="11" t="str">
        <f>IF(AND($C23="Goal",AN$7&gt;=$D23,AN$7&lt;=$D23+$F23-1),2,IF(AND($C23="Milestone",AN$7&gt;=$D23,AN$7&lt;=$D23+$F23-1),1,""))</f>
        <v/>
      </c>
      <c r="AO23" s="11" t="str">
        <f>IF(AND($C23="Goal",AO$7&gt;=$D23,AO$7&lt;=$D23+$F23-1),2,IF(AND($C23="Milestone",AO$7&gt;=$D23,AO$7&lt;=$D23+$F23-1),1,""))</f>
        <v/>
      </c>
      <c r="AP23" s="11" t="str">
        <f>IF(AND($C23="Goal",AP$7&gt;=$D23,AP$7&lt;=$D23+$F23-1),2,IF(AND($C23="Milestone",AP$7&gt;=$D23,AP$7&lt;=$D23+$F23-1),1,""))</f>
        <v/>
      </c>
      <c r="AQ23" s="11" t="str">
        <f>IF(AND($C23="Goal",AQ$7&gt;=$D23,AQ$7&lt;=$D23+$F23-1),2,IF(AND($C23="Milestone",AQ$7&gt;=$D23,AQ$7&lt;=$D23+$F23-1),1,""))</f>
        <v/>
      </c>
      <c r="AR23" s="11" t="str">
        <f>IF(AND($C23="Goal",AR$7&gt;=$D23,AR$7&lt;=$D23+$F23-1),2,IF(AND($C23="Milestone",AR$7&gt;=$D23,AR$7&lt;=$D23+$F23-1),1,""))</f>
        <v/>
      </c>
      <c r="AS23" s="11" t="str">
        <f>IF(AND($C23="Goal",AS$7&gt;=$D23,AS$7&lt;=$D23+$F23-1),2,IF(AND($C23="Milestone",AS$7&gt;=$D23,AS$7&lt;=$D23+$F23-1),1,""))</f>
        <v/>
      </c>
      <c r="AT23" s="11" t="str">
        <f>IF(AND($C23="Goal",AT$7&gt;=$D23,AT$7&lt;=$D23+$F23-1),2,IF(AND($C23="Milestone",AT$7&gt;=$D23,AT$7&lt;=$D23+$F23-1),1,""))</f>
        <v/>
      </c>
      <c r="AU23" s="11" t="str">
        <f>IF(AND($C23="Goal",AU$7&gt;=$D23,AU$7&lt;=$D23+$F23-1),2,IF(AND($C23="Milestone",AU$7&gt;=$D23,AU$7&lt;=$D23+$F23-1),1,""))</f>
        <v/>
      </c>
      <c r="AV23" s="11" t="str">
        <f>IF(AND($C23="Goal",AV$7&gt;=$D23,AV$7&lt;=$D23+$F23-1),2,IF(AND($C23="Milestone",AV$7&gt;=$D23,AV$7&lt;=$D23+$F23-1),1,""))</f>
        <v/>
      </c>
      <c r="AW23" s="11" t="str">
        <f>IF(AND($C23="Goal",AW$7&gt;=$D23,AW$7&lt;=$D23+$F23-1),2,IF(AND($C23="Milestone",AW$7&gt;=$D23,AW$7&lt;=$D23+$F23-1),1,""))</f>
        <v/>
      </c>
      <c r="AX23" s="11" t="str">
        <f>IF(AND($C23="Goal",AX$7&gt;=$D23,AX$7&lt;=$D23+$F23-1),2,IF(AND($C23="Milestone",AX$7&gt;=$D23,AX$7&lt;=$D23+$F23-1),1,""))</f>
        <v/>
      </c>
      <c r="AY23" s="11" t="str">
        <f>IF(AND($C23="Goal",AY$7&gt;=$D23,AY$7&lt;=$D23+$F23-1),2,IF(AND($C23="Milestone",AY$7&gt;=$D23,AY$7&lt;=$D23+$F23-1),1,""))</f>
        <v/>
      </c>
      <c r="AZ23" s="11" t="str">
        <f>IF(AND($C23="Goal",AZ$7&gt;=$D23,AZ$7&lt;=$D23+$F23-1),2,IF(AND($C23="Milestone",AZ$7&gt;=$D23,AZ$7&lt;=$D23+$F23-1),1,""))</f>
        <v/>
      </c>
      <c r="BA23" s="11" t="str">
        <f>IF(AND($C23="Goal",BA$7&gt;=$D23,BA$7&lt;=$D23+$F23-1),2,IF(AND($C23="Milestone",BA$7&gt;=$D23,BA$7&lt;=$D23+$F23-1),1,""))</f>
        <v/>
      </c>
      <c r="BB23" s="11" t="str">
        <f>IF(AND($C23="Goal",BB$7&gt;=$D23,BB$7&lt;=$D23+$F23-1),2,IF(AND($C23="Milestone",BB$7&gt;=$D23,BB$7&lt;=$D23+$F23-1),1,""))</f>
        <v/>
      </c>
      <c r="BC23" s="11" t="str">
        <f>IF(AND($C23="Goal",BC$7&gt;=$D23,BC$7&lt;=$D23+$F23-1),2,IF(AND($C23="Milestone",BC$7&gt;=$D23,BC$7&lt;=$D23+$F23-1),1,""))</f>
        <v/>
      </c>
      <c r="BD23" s="11" t="str">
        <f>IF(AND($C23="Goal",BD$7&gt;=$D23,BD$7&lt;=$D23+$F23-1),2,IF(AND($C23="Milestone",BD$7&gt;=$D23,BD$7&lt;=$D23+$F23-1),1,""))</f>
        <v/>
      </c>
      <c r="BE23" s="11" t="str">
        <f>IF(AND($C23="Goal",BE$7&gt;=$D23,BE$7&lt;=$D23+$F23-1),2,IF(AND($C23="Milestone",BE$7&gt;=$D23,BE$7&lt;=$D23+$F23-1),1,""))</f>
        <v/>
      </c>
      <c r="BF23" s="11" t="str">
        <f>IF(AND($C23="Goal",BF$7&gt;=$D23,BF$7&lt;=$D23+$F23-1),2,IF(AND($C23="Milestone",BF$7&gt;=$D23,BF$7&lt;=$D23+$F23-1),1,""))</f>
        <v/>
      </c>
      <c r="BG23" s="11" t="str">
        <f>IF(AND($C23="Goal",BG$7&gt;=$D23,BG$7&lt;=$D23+$F23-1),2,IF(AND($C23="Milestone",BG$7&gt;=$D23,BG$7&lt;=$D23+$F23-1),1,""))</f>
        <v/>
      </c>
      <c r="BH23" s="11" t="str">
        <f>IF(AND($C23="Goal",BH$7&gt;=$D23,BH$7&lt;=$D23+$F23-1),2,IF(AND($C23="Milestone",BH$7&gt;=$D23,BH$7&lt;=$D23+$F23-1),1,""))</f>
        <v/>
      </c>
      <c r="BI23" s="11" t="str">
        <f>IF(AND($C23="Goal",BI$7&gt;=$D23,BI$7&lt;=$D23+$F23-1),2,IF(AND($C23="Milestone",BI$7&gt;=$D23,BI$7&lt;=$D23+$F23-1),1,""))</f>
        <v/>
      </c>
      <c r="BJ23" s="11" t="str">
        <f>IF(AND($C23="Goal",BJ$7&gt;=$D23,BJ$7&lt;=$D23+$F23-1),2,IF(AND($C23="Milestone",BJ$7&gt;=$D23,BJ$7&lt;=$D23+$F23-1),1,""))</f>
        <v/>
      </c>
      <c r="BK23" s="11" t="str">
        <f>IF(AND($C23="Goal",BK$7&gt;=$D23,BK$7&lt;=$D23+$F23-1),2,IF(AND($C23="Milestone",BK$7&gt;=$D23,BK$7&lt;=$D23+$F23-1),1,""))</f>
        <v/>
      </c>
      <c r="BL23" s="11" t="str">
        <f>IF(AND($C23="Goal",BL$7&gt;=$D23,BL$7&lt;=$D23+$F23-1),2,IF(AND($C23="Milestone",BL$7&gt;=$D23,BL$7&lt;=$D23+$F23-1),1,""))</f>
        <v/>
      </c>
      <c r="BM23" s="11" t="str">
        <f>IF(AND($C23="Goal",BM$7&gt;=$D23,BM$7&lt;=$D23+$F23-1),2,IF(AND($C23="Milestone",BM$7&gt;=$D23,BM$7&lt;=$D23+$F23-1),1,""))</f>
        <v/>
      </c>
      <c r="BN23" s="11" t="str">
        <f>IF(AND($C23="Goal",BN$7&gt;=$D23,BN$7&lt;=$D23+$F23-1),2,IF(AND($C23="Milestone",BN$7&gt;=$D23,BN$7&lt;=$D23+$F23-1),1,""))</f>
        <v/>
      </c>
      <c r="BO23" s="11" t="str">
        <f>IF(AND($C23="Goal",BO$7&gt;=$D23,BO$7&lt;=$D23+$F23-1),2,IF(AND($C23="Milestone",BO$7&gt;=$D23,BO$7&lt;=$D23+$F23-1),1,""))</f>
        <v/>
      </c>
      <c r="BP23" s="11" t="str">
        <f>IF(AND($C23="Goal",BP$7&gt;=$D23,BP$7&lt;=$D23+$F23-1),2,IF(AND($C23="Milestone",BP$7&gt;=$D23,BP$7&lt;=$D23+$F23-1),1,""))</f>
        <v/>
      </c>
      <c r="BQ23" s="11" t="str">
        <f>IF(AND($C23="Goal",BQ$7&gt;=$D23,BQ$7&lt;=$D23+$F23-1),2,IF(AND($C23="Milestone",BQ$7&gt;=$D23,BQ$7&lt;=$D23+$F23-1),1,""))</f>
        <v/>
      </c>
      <c r="BR23" s="11" t="str">
        <f>IF(AND($C23="Goal",BR$7&gt;=$D23,BR$7&lt;=$D23+$F23-1),2,IF(AND($C23="Milestone",BR$7&gt;=$D23,BR$7&lt;=$D23+$F23-1),1,""))</f>
        <v/>
      </c>
      <c r="BS23" s="11" t="str">
        <f>IF(AND($C23="Goal",BS$7&gt;=$D23,BS$7&lt;=$D23+$F23-1),2,IF(AND($C23="Milestone",BS$7&gt;=$D23,BS$7&lt;=$D23+$F23-1),1,""))</f>
        <v/>
      </c>
      <c r="BT23" s="11" t="str">
        <f>IF(AND($C23="Goal",BT$7&gt;=$D23,BT$7&lt;=$D23+$F23-1),2,IF(AND($C23="Milestone",BT$7&gt;=$D23,BT$7&lt;=$D23+$F23-1),1,""))</f>
        <v/>
      </c>
      <c r="BU23" s="11" t="str">
        <f>IF(AND($C23="Goal",BU$7&gt;=$D23,BU$7&lt;=$D23+$F23-1),2,IF(AND($C23="Milestone",BU$7&gt;=$D23,BU$7&lt;=$D23+$F23-1),1,""))</f>
        <v/>
      </c>
      <c r="BV23" s="11" t="str">
        <f>IF(AND($C23="Goal",BV$7&gt;=$D23,BV$7&lt;=$D23+$F23-1),2,IF(AND($C23="Milestone",BV$7&gt;=$D23,BV$7&lt;=$D23+$F23-1),1,""))</f>
        <v/>
      </c>
      <c r="BW23" s="11" t="str">
        <f>IF(AND($C23="Goal",BW$7&gt;=$D23,BW$7&lt;=$D23+$F23-1),2,IF(AND($C23="Milestone",BW$7&gt;=$D23,BW$7&lt;=$D23+$F23-1),1,""))</f>
        <v/>
      </c>
      <c r="BX23" s="11" t="str">
        <f>IF(AND($C23="Goal",BX$7&gt;=$D23,BX$7&lt;=$D23+$F23-1),2,IF(AND($C23="Milestone",BX$7&gt;=$D23,BX$7&lt;=$D23+$F23-1),1,""))</f>
        <v/>
      </c>
      <c r="BY23" s="11" t="str">
        <f>IF(AND($C23="Goal",BY$7&gt;=$D23,BY$7&lt;=$D23+$F23-1),2,IF(AND($C23="Milestone",BY$7&gt;=$D23,BY$7&lt;=$D23+$F23-1),1,""))</f>
        <v/>
      </c>
      <c r="BZ23" s="11" t="str">
        <f>IF(AND($C23="Goal",BZ$7&gt;=$D23,BZ$7&lt;=$D23+$F23-1),2,IF(AND($C23="Milestone",BZ$7&gt;=$D23,BZ$7&lt;=$D23+$F23-1),1,""))</f>
        <v/>
      </c>
      <c r="CA23" s="11" t="str">
        <f>IF(AND($C23="Goal",CA$7&gt;=$D23,CA$7&lt;=$D23+$F23-1),2,IF(AND($C23="Milestone",CA$7&gt;=$D23,CA$7&lt;=$D23+$F23-1),1,""))</f>
        <v/>
      </c>
      <c r="CB23" s="11" t="str">
        <f>IF(AND($C23="Goal",CB$7&gt;=$D23,CB$7&lt;=$D23+$F23-1),2,IF(AND($C23="Milestone",CB$7&gt;=$D23,CB$7&lt;=$D23+$F23-1),1,""))</f>
        <v/>
      </c>
      <c r="CC23" s="11" t="str">
        <f>IF(AND($C23="Goal",CC$7&gt;=$D23,CC$7&lt;=$D23+$F23-1),2,IF(AND($C23="Milestone",CC$7&gt;=$D23,CC$7&lt;=$D23+$F23-1),1,""))</f>
        <v/>
      </c>
      <c r="CD23" s="11" t="str">
        <f>IF(AND($C23="Goal",CD$7&gt;=$D23,CD$7&lt;=$D23+$F23-1),2,IF(AND($C23="Milestone",CD$7&gt;=$D23,CD$7&lt;=$D23+$F23-1),1,""))</f>
        <v/>
      </c>
      <c r="CE23" s="11" t="str">
        <f>IF(AND($C23="Goal",CE$7&gt;=$D23,CE$7&lt;=$D23+$F23-1),2,IF(AND($C23="Milestone",CE$7&gt;=$D23,CE$7&lt;=$D23+$F23-1),1,""))</f>
        <v/>
      </c>
      <c r="CF23" s="11" t="str">
        <f>IF(AND($C23="Goal",CF$7&gt;=$D23,CF$7&lt;=$D23+$F23-1),2,IF(AND($C23="Milestone",CF$7&gt;=$D23,CF$7&lt;=$D23+$F23-1),1,""))</f>
        <v/>
      </c>
      <c r="CG23" s="11" t="str">
        <f>IF(AND($C23="Goal",CG$7&gt;=$D23,CG$7&lt;=$D23+$F23-1),2,IF(AND($C23="Milestone",CG$7&gt;=$D23,CG$7&lt;=$D23+$F23-1),1,""))</f>
        <v/>
      </c>
      <c r="CH23" s="11" t="str">
        <f>IF(AND($C23="Goal",CH$7&gt;=$D23,CH$7&lt;=$D23+$F23-1),2,IF(AND($C23="Milestone",CH$7&gt;=$D23,CH$7&lt;=$D23+$F23-1),1,""))</f>
        <v/>
      </c>
      <c r="CI23" s="11" t="str">
        <f>IF(AND($C23="Goal",CI$7&gt;=$D23,CI$7&lt;=$D23+$F23-1),2,IF(AND($C23="Milestone",CI$7&gt;=$D23,CI$7&lt;=$D23+$F23-1),1,""))</f>
        <v/>
      </c>
      <c r="CJ23" s="11" t="str">
        <f>IF(AND($C23="Goal",CJ$7&gt;=$D23,CJ$7&lt;=$D23+$F23-1),2,IF(AND($C23="Milestone",CJ$7&gt;=$D23,CJ$7&lt;=$D23+$F23-1),1,""))</f>
        <v/>
      </c>
      <c r="CK23" s="11" t="str">
        <f>IF(AND($C23="Goal",CK$7&gt;=$D23,CK$7&lt;=$D23+$F23-1),2,IF(AND($C23="Milestone",CK$7&gt;=$D23,CK$7&lt;=$D23+$F23-1),1,""))</f>
        <v/>
      </c>
      <c r="CL23" s="11" t="str">
        <f>IF(AND($C23="Goal",CL$7&gt;=$D23,CL$7&lt;=$D23+$F23-1),2,IF(AND($C23="Milestone",CL$7&gt;=$D23,CL$7&lt;=$D23+$F23-1),1,""))</f>
        <v/>
      </c>
      <c r="CM23" s="11" t="str">
        <f>IF(AND($C23="Goal",CM$7&gt;=$D23,CM$7&lt;=$D23+$F23-1),2,IF(AND($C23="Milestone",CM$7&gt;=$D23,CM$7&lt;=$D23+$F23-1),1,""))</f>
        <v/>
      </c>
      <c r="CN23" s="11" t="str">
        <f>IF(AND($C23="Goal",CN$7&gt;=$D23,CN$7&lt;=$D23+$F23-1),2,IF(AND($C23="Milestone",CN$7&gt;=$D23,CN$7&lt;=$D23+$F23-1),1,""))</f>
        <v/>
      </c>
      <c r="CO23" s="11" t="str">
        <f>IF(AND($C23="Goal",CO$7&gt;=$D23,CO$7&lt;=$D23+$F23-1),2,IF(AND($C23="Milestone",CO$7&gt;=$D23,CO$7&lt;=$D23+$F23-1),1,""))</f>
        <v/>
      </c>
      <c r="CP23" s="11" t="str">
        <f>IF(AND($C23="Goal",CP$7&gt;=$D23,CP$7&lt;=$D23+$F23-1),2,IF(AND($C23="Milestone",CP$7&gt;=$D23,CP$7&lt;=$D23+$F23-1),1,""))</f>
        <v/>
      </c>
      <c r="CQ23" s="11" t="str">
        <f>IF(AND($C23="Goal",CQ$7&gt;=$D23,CQ$7&lt;=$D23+$F23-1),2,IF(AND($C23="Milestone",CQ$7&gt;=$D23,CQ$7&lt;=$D23+$F23-1),1,""))</f>
        <v/>
      </c>
      <c r="CR23" s="11" t="str">
        <f>IF(AND($C23="Goal",CR$7&gt;=$D23,CR$7&lt;=$D23+$F23-1),2,IF(AND($C23="Milestone",CR$7&gt;=$D23,CR$7&lt;=$D23+$F23-1),1,""))</f>
        <v/>
      </c>
      <c r="CS23" s="11" t="str">
        <f>IF(AND($C23="Goal",CS$7&gt;=$D23,CS$7&lt;=$D23+$F23-1),2,IF(AND($C23="Milestone",CS$7&gt;=$D23,CS$7&lt;=$D23+$F23-1),1,""))</f>
        <v/>
      </c>
      <c r="CT23" s="11" t="str">
        <f>IF(AND($C23="Goal",CT$7&gt;=$D23,CT$7&lt;=$D23+$F23-1),2,IF(AND($C23="Milestone",CT$7&gt;=$D23,CT$7&lt;=$D23+$F23-1),1,""))</f>
        <v/>
      </c>
      <c r="CU23" s="11" t="str">
        <f>IF(AND($C23="Goal",CU$7&gt;=$D23,CU$7&lt;=$D23+$F23-1),2,IF(AND($C23="Milestone",CU$7&gt;=$D23,CU$7&lt;=$D23+$F23-1),1,""))</f>
        <v/>
      </c>
      <c r="CV23" s="11" t="str">
        <f>IF(AND($C23="Goal",CV$7&gt;=$D23,CV$7&lt;=$D23+$F23-1),2,IF(AND($C23="Milestone",CV$7&gt;=$D23,CV$7&lt;=$D23+$F23-1),1,""))</f>
        <v/>
      </c>
      <c r="CW23" s="11" t="str">
        <f>IF(AND($C23="Goal",CW$7&gt;=$D23,CW$7&lt;=$D23+$F23-1),2,IF(AND($C23="Milestone",CW$7&gt;=$D23,CW$7&lt;=$D23+$F23-1),1,""))</f>
        <v/>
      </c>
      <c r="CX23" s="11" t="str">
        <f>IF(AND($C23="Goal",CX$7&gt;=$D23,CX$7&lt;=$D23+$F23-1),2,IF(AND($C23="Milestone",CX$7&gt;=$D23,CX$7&lt;=$D23+$F23-1),1,""))</f>
        <v/>
      </c>
      <c r="CY23" s="11" t="str">
        <f>IF(AND($C23="Goal",CY$7&gt;=$D23,CY$7&lt;=$D23+$F23-1),2,IF(AND($C23="Milestone",CY$7&gt;=$D23,CY$7&lt;=$D23+$F23-1),1,""))</f>
        <v/>
      </c>
      <c r="CZ23" s="11" t="str">
        <f>IF(AND($C23="Goal",CZ$7&gt;=$D23,CZ$7&lt;=$D23+$F23-1),2,IF(AND($C23="Milestone",CZ$7&gt;=$D23,CZ$7&lt;=$D23+$F23-1),1,""))</f>
        <v/>
      </c>
      <c r="DA23" s="11" t="str">
        <f>IF(AND($C23="Goal",DA$7&gt;=$D23,DA$7&lt;=$D23+$F23-1),2,IF(AND($C23="Milestone",DA$7&gt;=$D23,DA$7&lt;=$D23+$F23-1),1,""))</f>
        <v/>
      </c>
      <c r="DB23" s="11" t="str">
        <f>IF(AND($C23="Goal",DB$7&gt;=$D23,DB$7&lt;=$D23+$F23-1),2,IF(AND($C23="Milestone",DB$7&gt;=$D23,DB$7&lt;=$D23+$F23-1),1,""))</f>
        <v/>
      </c>
      <c r="DC23" s="11" t="str">
        <f>IF(AND($C23="Goal",DC$7&gt;=$D23,DC$7&lt;=$D23+$F23-1),2,IF(AND($C23="Milestone",DC$7&gt;=$D23,DC$7&lt;=$D23+$F23-1),1,""))</f>
        <v/>
      </c>
      <c r="DD23" s="11" t="str">
        <f>IF(AND($C23="Goal",DD$7&gt;=$D23,DD$7&lt;=$D23+$F23-1),2,IF(AND($C23="Milestone",DD$7&gt;=$D23,DD$7&lt;=$D23+$F23-1),1,""))</f>
        <v/>
      </c>
      <c r="DE23" s="11" t="str">
        <f>IF(AND($C23="Goal",DE$7&gt;=$D23,DE$7&lt;=$D23+$F23-1),2,IF(AND($C23="Milestone",DE$7&gt;=$D23,DE$7&lt;=$D23+$F23-1),1,""))</f>
        <v/>
      </c>
      <c r="DF23" s="11" t="str">
        <f>IF(AND($C23="Goal",DF$7&gt;=$D23,DF$7&lt;=$D23+$F23-1),2,IF(AND($C23="Milestone",DF$7&gt;=$D23,DF$7&lt;=$D23+$F23-1),1,""))</f>
        <v/>
      </c>
    </row>
    <row r="24" spans="1:110" s="1" customFormat="1" ht="40.15" customHeight="1" x14ac:dyDescent="0.35">
      <c r="A24" s="4"/>
      <c r="B24" s="43" t="s">
        <v>18</v>
      </c>
      <c r="C24" s="13" t="s">
        <v>3</v>
      </c>
      <c r="D24" s="14">
        <v>46031</v>
      </c>
      <c r="E24" s="14">
        <f>Milestones4352[[#This Row],[Ínicio]]+Milestones4352[[#This Row],[Nº Dias]]-1</f>
        <v>46052</v>
      </c>
      <c r="F24" s="15">
        <v>22</v>
      </c>
      <c r="G24" s="13"/>
      <c r="H24" s="11" t="str">
        <f>IF(AND($C24="Goal",H$7&gt;=$D24,H$7&lt;=$D24+$F24-1),2,IF(AND($C24="Milestone",H$7&gt;=$D24,H$7&lt;=$D24+$F24-1),1,""))</f>
        <v/>
      </c>
      <c r="I24" s="11" t="str">
        <f>IF(AND($C24="Goal",I$7&gt;=$D24,I$7&lt;=$D24+$F24-1),2,IF(AND($C24="Milestone",I$7&gt;=$D24,I$7&lt;=$D24+$F24-1),1,""))</f>
        <v/>
      </c>
      <c r="J24" s="11" t="str">
        <f>IF(AND($C24="Goal",J$7&gt;=$D24,J$7&lt;=$D24+$F24-1),2,IF(AND($C24="Milestone",J$7&gt;=$D24,J$7&lt;=$D24+$F24-1),1,""))</f>
        <v/>
      </c>
      <c r="K24" s="11" t="str">
        <f>IF(AND($C24="Goal",K$7&gt;=$D24,K$7&lt;=$D24+$F24-1),2,IF(AND($C24="Milestone",K$7&gt;=$D24,K$7&lt;=$D24+$F24-1),1,""))</f>
        <v/>
      </c>
      <c r="L24" s="11" t="str">
        <f>IF(AND($C24="Goal",L$7&gt;=$D24,L$7&lt;=$D24+$F24-1),2,IF(AND($C24="Milestone",L$7&gt;=$D24,L$7&lt;=$D24+$F24-1),1,""))</f>
        <v/>
      </c>
      <c r="M24" s="11" t="str">
        <f>IF(AND($C24="Goal",M$7&gt;=$D24,M$7&lt;=$D24+$F24-1),2,IF(AND($C24="Milestone",M$7&gt;=$D24,M$7&lt;=$D24+$F24-1),1,""))</f>
        <v/>
      </c>
      <c r="N24" s="11" t="str">
        <f>IF(AND($C24="Goal",N$7&gt;=$D24,N$7&lt;=$D24+$F24-1),2,IF(AND($C24="Milestone",N$7&gt;=$D24,N$7&lt;=$D24+$F24-1),1,""))</f>
        <v/>
      </c>
      <c r="O24" s="11" t="str">
        <f>IF(AND($C24="Goal",O$7&gt;=$D24,O$7&lt;=$D24+$F24-1),2,IF(AND($C24="Milestone",O$7&gt;=$D24,O$7&lt;=$D24+$F24-1),1,""))</f>
        <v/>
      </c>
      <c r="P24" s="11" t="str">
        <f>IF(AND($C24="Goal",P$7&gt;=$D24,P$7&lt;=$D24+$F24-1),2,IF(AND($C24="Milestone",P$7&gt;=$D24,P$7&lt;=$D24+$F24-1),1,""))</f>
        <v/>
      </c>
      <c r="Q24" s="11" t="str">
        <f>IF(AND($C24="Goal",Q$7&gt;=$D24,Q$7&lt;=$D24+$F24-1),2,IF(AND($C24="Milestone",Q$7&gt;=$D24,Q$7&lt;=$D24+$F24-1),1,""))</f>
        <v/>
      </c>
      <c r="R24" s="11" t="str">
        <f>IF(AND($C24="Goal",R$7&gt;=$D24,R$7&lt;=$D24+$F24-1),2,IF(AND($C24="Milestone",R$7&gt;=$D24,R$7&lt;=$D24+$F24-1),1,""))</f>
        <v/>
      </c>
      <c r="S24" s="11" t="str">
        <f>IF(AND($C24="Goal",S$7&gt;=$D24,S$7&lt;=$D24+$F24-1),2,IF(AND($C24="Milestone",S$7&gt;=$D24,S$7&lt;=$D24+$F24-1),1,""))</f>
        <v/>
      </c>
      <c r="T24" s="11" t="str">
        <f>IF(AND($C24="Goal",T$7&gt;=$D24,T$7&lt;=$D24+$F24-1),2,IF(AND($C24="Milestone",T$7&gt;=$D24,T$7&lt;=$D24+$F24-1),1,""))</f>
        <v/>
      </c>
      <c r="U24" s="11" t="str">
        <f>IF(AND($C24="Goal",U$7&gt;=$D24,U$7&lt;=$D24+$F24-1),2,IF(AND($C24="Milestone",U$7&gt;=$D24,U$7&lt;=$D24+$F24-1),1,""))</f>
        <v/>
      </c>
      <c r="V24" s="11" t="str">
        <f>IF(AND($C24="Goal",V$7&gt;=$D24,V$7&lt;=$D24+$F24-1),2,IF(AND($C24="Milestone",V$7&gt;=$D24,V$7&lt;=$D24+$F24-1),1,""))</f>
        <v/>
      </c>
      <c r="W24" s="11" t="str">
        <f>IF(AND($C24="Goal",W$7&gt;=$D24,W$7&lt;=$D24+$F24-1),2,IF(AND($C24="Milestone",W$7&gt;=$D24,W$7&lt;=$D24+$F24-1),1,""))</f>
        <v/>
      </c>
      <c r="X24" s="11" t="str">
        <f>IF(AND($C24="Goal",X$7&gt;=$D24,X$7&lt;=$D24+$F24-1),2,IF(AND($C24="Milestone",X$7&gt;=$D24,X$7&lt;=$D24+$F24-1),1,""))</f>
        <v/>
      </c>
      <c r="Y24" s="11" t="str">
        <f>IF(AND($C24="Goal",Y$7&gt;=$D24,Y$7&lt;=$D24+$F24-1),2,IF(AND($C24="Milestone",Y$7&gt;=$D24,Y$7&lt;=$D24+$F24-1),1,""))</f>
        <v/>
      </c>
      <c r="Z24" s="11" t="str">
        <f>IF(AND($C24="Goal",Z$7&gt;=$D24,Z$7&lt;=$D24+$F24-1),2,IF(AND($C24="Milestone",Z$7&gt;=$D24,Z$7&lt;=$D24+$F24-1),1,""))</f>
        <v/>
      </c>
      <c r="AA24" s="11" t="str">
        <f>IF(AND($C24="Goal",AA$7&gt;=$D24,AA$7&lt;=$D24+$F24-1),2,IF(AND($C24="Milestone",AA$7&gt;=$D24,AA$7&lt;=$D24+$F24-1),1,""))</f>
        <v/>
      </c>
      <c r="AB24" s="11" t="str">
        <f>IF(AND($C24="Goal",AB$7&gt;=$D24,AB$7&lt;=$D24+$F24-1),2,IF(AND($C24="Milestone",AB$7&gt;=$D24,AB$7&lt;=$D24+$F24-1),1,""))</f>
        <v/>
      </c>
      <c r="AC24" s="11" t="str">
        <f>IF(AND($C24="Goal",AC$7&gt;=$D24,AC$7&lt;=$D24+$F24-1),2,IF(AND($C24="Milestone",AC$7&gt;=$D24,AC$7&lt;=$D24+$F24-1),1,""))</f>
        <v/>
      </c>
      <c r="AD24" s="11" t="str">
        <f>IF(AND($C24="Goal",AD$7&gt;=$D24,AD$7&lt;=$D24+$F24-1),2,IF(AND($C24="Milestone",AD$7&gt;=$D24,AD$7&lt;=$D24+$F24-1),1,""))</f>
        <v/>
      </c>
      <c r="AE24" s="11" t="str">
        <f>IF(AND($C24="Goal",AE$7&gt;=$D24,AE$7&lt;=$D24+$F24-1),2,IF(AND($C24="Milestone",AE$7&gt;=$D24,AE$7&lt;=$D24+$F24-1),1,""))</f>
        <v/>
      </c>
      <c r="AF24" s="11" t="str">
        <f>IF(AND($C24="Goal",AF$7&gt;=$D24,AF$7&lt;=$D24+$F24-1),2,IF(AND($C24="Milestone",AF$7&gt;=$D24,AF$7&lt;=$D24+$F24-1),1,""))</f>
        <v/>
      </c>
      <c r="AG24" s="11" t="str">
        <f>IF(AND($C24="Goal",AG$7&gt;=$D24,AG$7&lt;=$D24+$F24-1),2,IF(AND($C24="Milestone",AG$7&gt;=$D24,AG$7&lt;=$D24+$F24-1),1,""))</f>
        <v/>
      </c>
      <c r="AH24" s="11" t="str">
        <f>IF(AND($C24="Goal",AH$7&gt;=$D24,AH$7&lt;=$D24+$F24-1),2,IF(AND($C24="Milestone",AH$7&gt;=$D24,AH$7&lt;=$D24+$F24-1),1,""))</f>
        <v/>
      </c>
      <c r="AI24" s="11" t="str">
        <f>IF(AND($C24="Goal",AI$7&gt;=$D24,AI$7&lt;=$D24+$F24-1),2,IF(AND($C24="Milestone",AI$7&gt;=$D24,AI$7&lt;=$D24+$F24-1),1,""))</f>
        <v/>
      </c>
      <c r="AJ24" s="11" t="str">
        <f>IF(AND($C24="Goal",AJ$7&gt;=$D24,AJ$7&lt;=$D24+$F24-1),2,IF(AND($C24="Milestone",AJ$7&gt;=$D24,AJ$7&lt;=$D24+$F24-1),1,""))</f>
        <v/>
      </c>
      <c r="AK24" s="11" t="str">
        <f>IF(AND($C24="Goal",AK$7&gt;=$D24,AK$7&lt;=$D24+$F24-1),2,IF(AND($C24="Milestone",AK$7&gt;=$D24,AK$7&lt;=$D24+$F24-1),1,""))</f>
        <v/>
      </c>
      <c r="AL24" s="11" t="str">
        <f>IF(AND($C24="Goal",AL$7&gt;=$D24,AL$7&lt;=$D24+$F24-1),2,IF(AND($C24="Milestone",AL$7&gt;=$D24,AL$7&lt;=$D24+$F24-1),1,""))</f>
        <v/>
      </c>
      <c r="AM24" s="11" t="str">
        <f>IF(AND($C24="Goal",AM$7&gt;=$D24,AM$7&lt;=$D24+$F24-1),2,IF(AND($C24="Milestone",AM$7&gt;=$D24,AM$7&lt;=$D24+$F24-1),1,""))</f>
        <v/>
      </c>
      <c r="AN24" s="11" t="str">
        <f>IF(AND($C24="Goal",AN$7&gt;=$D24,AN$7&lt;=$D24+$F24-1),2,IF(AND($C24="Milestone",AN$7&gt;=$D24,AN$7&lt;=$D24+$F24-1),1,""))</f>
        <v/>
      </c>
      <c r="AO24" s="11" t="str">
        <f>IF(AND($C24="Goal",AO$7&gt;=$D24,AO$7&lt;=$D24+$F24-1),2,IF(AND($C24="Milestone",AO$7&gt;=$D24,AO$7&lt;=$D24+$F24-1),1,""))</f>
        <v/>
      </c>
      <c r="AP24" s="11" t="str">
        <f>IF(AND($C24="Goal",AP$7&gt;=$D24,AP$7&lt;=$D24+$F24-1),2,IF(AND($C24="Milestone",AP$7&gt;=$D24,AP$7&lt;=$D24+$F24-1),1,""))</f>
        <v/>
      </c>
      <c r="AQ24" s="11" t="str">
        <f>IF(AND($C24="Goal",AQ$7&gt;=$D24,AQ$7&lt;=$D24+$F24-1),2,IF(AND($C24="Milestone",AQ$7&gt;=$D24,AQ$7&lt;=$D24+$F24-1),1,""))</f>
        <v/>
      </c>
      <c r="AR24" s="11" t="str">
        <f>IF(AND($C24="Goal",AR$7&gt;=$D24,AR$7&lt;=$D24+$F24-1),2,IF(AND($C24="Milestone",AR$7&gt;=$D24,AR$7&lt;=$D24+$F24-1),1,""))</f>
        <v/>
      </c>
      <c r="AS24" s="11" t="str">
        <f>IF(AND($C24="Goal",AS$7&gt;=$D24,AS$7&lt;=$D24+$F24-1),2,IF(AND($C24="Milestone",AS$7&gt;=$D24,AS$7&lt;=$D24+$F24-1),1,""))</f>
        <v/>
      </c>
      <c r="AT24" s="11" t="str">
        <f>IF(AND($C24="Goal",AT$7&gt;=$D24,AT$7&lt;=$D24+$F24-1),2,IF(AND($C24="Milestone",AT$7&gt;=$D24,AT$7&lt;=$D24+$F24-1),1,""))</f>
        <v/>
      </c>
      <c r="AU24" s="11" t="str">
        <f>IF(AND($C24="Goal",AU$7&gt;=$D24,AU$7&lt;=$D24+$F24-1),2,IF(AND($C24="Milestone",AU$7&gt;=$D24,AU$7&lt;=$D24+$F24-1),1,""))</f>
        <v/>
      </c>
      <c r="AV24" s="11" t="str">
        <f>IF(AND($C24="Goal",AV$7&gt;=$D24,AV$7&lt;=$D24+$F24-1),2,IF(AND($C24="Milestone",AV$7&gt;=$D24,AV$7&lt;=$D24+$F24-1),1,""))</f>
        <v/>
      </c>
      <c r="AW24" s="11" t="str">
        <f>IF(AND($C24="Goal",AW$7&gt;=$D24,AW$7&lt;=$D24+$F24-1),2,IF(AND($C24="Milestone",AW$7&gt;=$D24,AW$7&lt;=$D24+$F24-1),1,""))</f>
        <v/>
      </c>
      <c r="AX24" s="11" t="str">
        <f>IF(AND($C24="Goal",AX$7&gt;=$D24,AX$7&lt;=$D24+$F24-1),2,IF(AND($C24="Milestone",AX$7&gt;=$D24,AX$7&lt;=$D24+$F24-1),1,""))</f>
        <v/>
      </c>
      <c r="AY24" s="11" t="str">
        <f>IF(AND($C24="Goal",AY$7&gt;=$D24,AY$7&lt;=$D24+$F24-1),2,IF(AND($C24="Milestone",AY$7&gt;=$D24,AY$7&lt;=$D24+$F24-1),1,""))</f>
        <v/>
      </c>
      <c r="AZ24" s="11" t="str">
        <f>IF(AND($C24="Goal",AZ$7&gt;=$D24,AZ$7&lt;=$D24+$F24-1),2,IF(AND($C24="Milestone",AZ$7&gt;=$D24,AZ$7&lt;=$D24+$F24-1),1,""))</f>
        <v/>
      </c>
      <c r="BA24" s="11" t="str">
        <f>IF(AND($C24="Goal",BA$7&gt;=$D24,BA$7&lt;=$D24+$F24-1),2,IF(AND($C24="Milestone",BA$7&gt;=$D24,BA$7&lt;=$D24+$F24-1),1,""))</f>
        <v/>
      </c>
      <c r="BB24" s="11" t="str">
        <f>IF(AND($C24="Goal",BB$7&gt;=$D24,BB$7&lt;=$D24+$F24-1),2,IF(AND($C24="Milestone",BB$7&gt;=$D24,BB$7&lt;=$D24+$F24-1),1,""))</f>
        <v/>
      </c>
      <c r="BC24" s="11" t="str">
        <f>IF(AND($C24="Goal",BC$7&gt;=$D24,BC$7&lt;=$D24+$F24-1),2,IF(AND($C24="Milestone",BC$7&gt;=$D24,BC$7&lt;=$D24+$F24-1),1,""))</f>
        <v/>
      </c>
      <c r="BD24" s="11" t="str">
        <f>IF(AND($C24="Goal",BD$7&gt;=$D24,BD$7&lt;=$D24+$F24-1),2,IF(AND($C24="Milestone",BD$7&gt;=$D24,BD$7&lt;=$D24+$F24-1),1,""))</f>
        <v/>
      </c>
      <c r="BE24" s="11" t="str">
        <f>IF(AND($C24="Goal",BE$7&gt;=$D24,BE$7&lt;=$D24+$F24-1),2,IF(AND($C24="Milestone",BE$7&gt;=$D24,BE$7&lt;=$D24+$F24-1),1,""))</f>
        <v/>
      </c>
      <c r="BF24" s="11" t="str">
        <f>IF(AND($C24="Goal",BF$7&gt;=$D24,BF$7&lt;=$D24+$F24-1),2,IF(AND($C24="Milestone",BF$7&gt;=$D24,BF$7&lt;=$D24+$F24-1),1,""))</f>
        <v/>
      </c>
      <c r="BG24" s="11" t="str">
        <f>IF(AND($C24="Goal",BG$7&gt;=$D24,BG$7&lt;=$D24+$F24-1),2,IF(AND($C24="Milestone",BG$7&gt;=$D24,BG$7&lt;=$D24+$F24-1),1,""))</f>
        <v/>
      </c>
      <c r="BH24" s="11" t="str">
        <f>IF(AND($C24="Goal",BH$7&gt;=$D24,BH$7&lt;=$D24+$F24-1),2,IF(AND($C24="Milestone",BH$7&gt;=$D24,BH$7&lt;=$D24+$F24-1),1,""))</f>
        <v/>
      </c>
      <c r="BI24" s="11" t="str">
        <f>IF(AND($C24="Goal",BI$7&gt;=$D24,BI$7&lt;=$D24+$F24-1),2,IF(AND($C24="Milestone",BI$7&gt;=$D24,BI$7&lt;=$D24+$F24-1),1,""))</f>
        <v/>
      </c>
      <c r="BJ24" s="11" t="str">
        <f>IF(AND($C24="Goal",BJ$7&gt;=$D24,BJ$7&lt;=$D24+$F24-1),2,IF(AND($C24="Milestone",BJ$7&gt;=$D24,BJ$7&lt;=$D24+$F24-1),1,""))</f>
        <v/>
      </c>
      <c r="BK24" s="11" t="str">
        <f>IF(AND($C24="Goal",BK$7&gt;=$D24,BK$7&lt;=$D24+$F24-1),2,IF(AND($C24="Milestone",BK$7&gt;=$D24,BK$7&lt;=$D24+$F24-1),1,""))</f>
        <v/>
      </c>
      <c r="BL24" s="11" t="str">
        <f>IF(AND($C24="Goal",BL$7&gt;=$D24,BL$7&lt;=$D24+$F24-1),2,IF(AND($C24="Milestone",BL$7&gt;=$D24,BL$7&lt;=$D24+$F24-1),1,""))</f>
        <v/>
      </c>
      <c r="BM24" s="11" t="str">
        <f>IF(AND($C24="Goal",BM$7&gt;=$D24,BM$7&lt;=$D24+$F24-1),2,IF(AND($C24="Milestone",BM$7&gt;=$D24,BM$7&lt;=$D24+$F24-1),1,""))</f>
        <v/>
      </c>
      <c r="BN24" s="11" t="str">
        <f>IF(AND($C24="Goal",BN$7&gt;=$D24,BN$7&lt;=$D24+$F24-1),2,IF(AND($C24="Milestone",BN$7&gt;=$D24,BN$7&lt;=$D24+$F24-1),1,""))</f>
        <v/>
      </c>
      <c r="BO24" s="11" t="str">
        <f>IF(AND($C24="Goal",BO$7&gt;=$D24,BO$7&lt;=$D24+$F24-1),2,IF(AND($C24="Milestone",BO$7&gt;=$D24,BO$7&lt;=$D24+$F24-1),1,""))</f>
        <v/>
      </c>
      <c r="BP24" s="11" t="str">
        <f>IF(AND($C24="Goal",BP$7&gt;=$D24,BP$7&lt;=$D24+$F24-1),2,IF(AND($C24="Milestone",BP$7&gt;=$D24,BP$7&lt;=$D24+$F24-1),1,""))</f>
        <v/>
      </c>
      <c r="BQ24" s="11" t="str">
        <f>IF(AND($C24="Goal",BQ$7&gt;=$D24,BQ$7&lt;=$D24+$F24-1),2,IF(AND($C24="Milestone",BQ$7&gt;=$D24,BQ$7&lt;=$D24+$F24-1),1,""))</f>
        <v/>
      </c>
      <c r="BR24" s="11" t="str">
        <f>IF(AND($C24="Goal",BR$7&gt;=$D24,BR$7&lt;=$D24+$F24-1),2,IF(AND($C24="Milestone",BR$7&gt;=$D24,BR$7&lt;=$D24+$F24-1),1,""))</f>
        <v/>
      </c>
      <c r="BS24" s="11" t="str">
        <f>IF(AND($C24="Goal",BS$7&gt;=$D24,BS$7&lt;=$D24+$F24-1),2,IF(AND($C24="Milestone",BS$7&gt;=$D24,BS$7&lt;=$D24+$F24-1),1,""))</f>
        <v/>
      </c>
      <c r="BT24" s="11" t="str">
        <f>IF(AND($C24="Goal",BT$7&gt;=$D24,BT$7&lt;=$D24+$F24-1),2,IF(AND($C24="Milestone",BT$7&gt;=$D24,BT$7&lt;=$D24+$F24-1),1,""))</f>
        <v/>
      </c>
      <c r="BU24" s="11" t="str">
        <f>IF(AND($C24="Goal",BU$7&gt;=$D24,BU$7&lt;=$D24+$F24-1),2,IF(AND($C24="Milestone",BU$7&gt;=$D24,BU$7&lt;=$D24+$F24-1),1,""))</f>
        <v/>
      </c>
      <c r="BV24" s="11" t="str">
        <f>IF(AND($C24="Goal",BV$7&gt;=$D24,BV$7&lt;=$D24+$F24-1),2,IF(AND($C24="Milestone",BV$7&gt;=$D24,BV$7&lt;=$D24+$F24-1),1,""))</f>
        <v/>
      </c>
      <c r="BW24" s="11" t="str">
        <f>IF(AND($C24="Goal",BW$7&gt;=$D24,BW$7&lt;=$D24+$F24-1),2,IF(AND($C24="Milestone",BW$7&gt;=$D24,BW$7&lt;=$D24+$F24-1),1,""))</f>
        <v/>
      </c>
      <c r="BX24" s="11" t="str">
        <f>IF(AND($C24="Goal",BX$7&gt;=$D24,BX$7&lt;=$D24+$F24-1),2,IF(AND($C24="Milestone",BX$7&gt;=$D24,BX$7&lt;=$D24+$F24-1),1,""))</f>
        <v/>
      </c>
      <c r="BY24" s="11" t="str">
        <f>IF(AND($C24="Goal",BY$7&gt;=$D24,BY$7&lt;=$D24+$F24-1),2,IF(AND($C24="Milestone",BY$7&gt;=$D24,BY$7&lt;=$D24+$F24-1),1,""))</f>
        <v/>
      </c>
      <c r="BZ24" s="11" t="str">
        <f>IF(AND($C24="Goal",BZ$7&gt;=$D24,BZ$7&lt;=$D24+$F24-1),2,IF(AND($C24="Milestone",BZ$7&gt;=$D24,BZ$7&lt;=$D24+$F24-1),1,""))</f>
        <v/>
      </c>
      <c r="CA24" s="11" t="str">
        <f>IF(AND($C24="Goal",CA$7&gt;=$D24,CA$7&lt;=$D24+$F24-1),2,IF(AND($C24="Milestone",CA$7&gt;=$D24,CA$7&lt;=$D24+$F24-1),1,""))</f>
        <v/>
      </c>
      <c r="CB24" s="11" t="str">
        <f>IF(AND($C24="Goal",CB$7&gt;=$D24,CB$7&lt;=$D24+$F24-1),2,IF(AND($C24="Milestone",CB$7&gt;=$D24,CB$7&lt;=$D24+$F24-1),1,""))</f>
        <v/>
      </c>
      <c r="CC24" s="11" t="str">
        <f>IF(AND($C24="Goal",CC$7&gt;=$D24,CC$7&lt;=$D24+$F24-1),2,IF(AND($C24="Milestone",CC$7&gt;=$D24,CC$7&lt;=$D24+$F24-1),1,""))</f>
        <v/>
      </c>
      <c r="CD24" s="11" t="str">
        <f>IF(AND($C24="Goal",CD$7&gt;=$D24,CD$7&lt;=$D24+$F24-1),2,IF(AND($C24="Milestone",CD$7&gt;=$D24,CD$7&lt;=$D24+$F24-1),1,""))</f>
        <v/>
      </c>
      <c r="CE24" s="11" t="str">
        <f>IF(AND($C24="Goal",CE$7&gt;=$D24,CE$7&lt;=$D24+$F24-1),2,IF(AND($C24="Milestone",CE$7&gt;=$D24,CE$7&lt;=$D24+$F24-1),1,""))</f>
        <v/>
      </c>
      <c r="CF24" s="11" t="str">
        <f>IF(AND($C24="Goal",CF$7&gt;=$D24,CF$7&lt;=$D24+$F24-1),2,IF(AND($C24="Milestone",CF$7&gt;=$D24,CF$7&lt;=$D24+$F24-1),1,""))</f>
        <v/>
      </c>
      <c r="CG24" s="11" t="str">
        <f>IF(AND($C24="Goal",CG$7&gt;=$D24,CG$7&lt;=$D24+$F24-1),2,IF(AND($C24="Milestone",CG$7&gt;=$D24,CG$7&lt;=$D24+$F24-1),1,""))</f>
        <v/>
      </c>
      <c r="CH24" s="11" t="str">
        <f>IF(AND($C24="Goal",CH$7&gt;=$D24,CH$7&lt;=$D24+$F24-1),2,IF(AND($C24="Milestone",CH$7&gt;=$D24,CH$7&lt;=$D24+$F24-1),1,""))</f>
        <v/>
      </c>
      <c r="CI24" s="11" t="str">
        <f>IF(AND($C24="Goal",CI$7&gt;=$D24,CI$7&lt;=$D24+$F24-1),2,IF(AND($C24="Milestone",CI$7&gt;=$D24,CI$7&lt;=$D24+$F24-1),1,""))</f>
        <v/>
      </c>
      <c r="CJ24" s="11" t="str">
        <f>IF(AND($C24="Goal",CJ$7&gt;=$D24,CJ$7&lt;=$D24+$F24-1),2,IF(AND($C24="Milestone",CJ$7&gt;=$D24,CJ$7&lt;=$D24+$F24-1),1,""))</f>
        <v/>
      </c>
      <c r="CK24" s="11" t="str">
        <f>IF(AND($C24="Goal",CK$7&gt;=$D24,CK$7&lt;=$D24+$F24-1),2,IF(AND($C24="Milestone",CK$7&gt;=$D24,CK$7&lt;=$D24+$F24-1),1,""))</f>
        <v/>
      </c>
      <c r="CL24" s="11" t="str">
        <f>IF(AND($C24="Goal",CL$7&gt;=$D24,CL$7&lt;=$D24+$F24-1),2,IF(AND($C24="Milestone",CL$7&gt;=$D24,CL$7&lt;=$D24+$F24-1),1,""))</f>
        <v/>
      </c>
      <c r="CM24" s="11" t="str">
        <f>IF(AND($C24="Goal",CM$7&gt;=$D24,CM$7&lt;=$D24+$F24-1),2,IF(AND($C24="Milestone",CM$7&gt;=$D24,CM$7&lt;=$D24+$F24-1),1,""))</f>
        <v/>
      </c>
      <c r="CN24" s="11" t="str">
        <f>IF(AND($C24="Goal",CN$7&gt;=$D24,CN$7&lt;=$D24+$F24-1),2,IF(AND($C24="Milestone",CN$7&gt;=$D24,CN$7&lt;=$D24+$F24-1),1,""))</f>
        <v/>
      </c>
      <c r="CO24" s="11" t="str">
        <f>IF(AND($C24="Goal",CO$7&gt;=$D24,CO$7&lt;=$D24+$F24-1),2,IF(AND($C24="Milestone",CO$7&gt;=$D24,CO$7&lt;=$D24+$F24-1),1,""))</f>
        <v/>
      </c>
      <c r="CP24" s="11" t="str">
        <f>IF(AND($C24="Goal",CP$7&gt;=$D24,CP$7&lt;=$D24+$F24-1),2,IF(AND($C24="Milestone",CP$7&gt;=$D24,CP$7&lt;=$D24+$F24-1),1,""))</f>
        <v/>
      </c>
      <c r="CQ24" s="11" t="str">
        <f>IF(AND($C24="Goal",CQ$7&gt;=$D24,CQ$7&lt;=$D24+$F24-1),2,IF(AND($C24="Milestone",CQ$7&gt;=$D24,CQ$7&lt;=$D24+$F24-1),1,""))</f>
        <v/>
      </c>
      <c r="CR24" s="11" t="str">
        <f>IF(AND($C24="Goal",CR$7&gt;=$D24,CR$7&lt;=$D24+$F24-1),2,IF(AND($C24="Milestone",CR$7&gt;=$D24,CR$7&lt;=$D24+$F24-1),1,""))</f>
        <v/>
      </c>
      <c r="CS24" s="11" t="str">
        <f>IF(AND($C24="Goal",CS$7&gt;=$D24,CS$7&lt;=$D24+$F24-1),2,IF(AND($C24="Milestone",CS$7&gt;=$D24,CS$7&lt;=$D24+$F24-1),1,""))</f>
        <v/>
      </c>
      <c r="CT24" s="11" t="str">
        <f>IF(AND($C24="Goal",CT$7&gt;=$D24,CT$7&lt;=$D24+$F24-1),2,IF(AND($C24="Milestone",CT$7&gt;=$D24,CT$7&lt;=$D24+$F24-1),1,""))</f>
        <v/>
      </c>
      <c r="CU24" s="11" t="str">
        <f>IF(AND($C24="Goal",CU$7&gt;=$D24,CU$7&lt;=$D24+$F24-1),2,IF(AND($C24="Milestone",CU$7&gt;=$D24,CU$7&lt;=$D24+$F24-1),1,""))</f>
        <v/>
      </c>
      <c r="CV24" s="11" t="str">
        <f>IF(AND($C24="Goal",CV$7&gt;=$D24,CV$7&lt;=$D24+$F24-1),2,IF(AND($C24="Milestone",CV$7&gt;=$D24,CV$7&lt;=$D24+$F24-1),1,""))</f>
        <v/>
      </c>
      <c r="CW24" s="11" t="str">
        <f>IF(AND($C24="Goal",CW$7&gt;=$D24,CW$7&lt;=$D24+$F24-1),2,IF(AND($C24="Milestone",CW$7&gt;=$D24,CW$7&lt;=$D24+$F24-1),1,""))</f>
        <v/>
      </c>
      <c r="CX24" s="11" t="str">
        <f>IF(AND($C24="Goal",CX$7&gt;=$D24,CX$7&lt;=$D24+$F24-1),2,IF(AND($C24="Milestone",CX$7&gt;=$D24,CX$7&lt;=$D24+$F24-1),1,""))</f>
        <v/>
      </c>
      <c r="CY24" s="11" t="str">
        <f>IF(AND($C24="Goal",CY$7&gt;=$D24,CY$7&lt;=$D24+$F24-1),2,IF(AND($C24="Milestone",CY$7&gt;=$D24,CY$7&lt;=$D24+$F24-1),1,""))</f>
        <v/>
      </c>
      <c r="CZ24" s="11" t="str">
        <f>IF(AND($C24="Goal",CZ$7&gt;=$D24,CZ$7&lt;=$D24+$F24-1),2,IF(AND($C24="Milestone",CZ$7&gt;=$D24,CZ$7&lt;=$D24+$F24-1),1,""))</f>
        <v/>
      </c>
      <c r="DA24" s="11" t="str">
        <f>IF(AND($C24="Goal",DA$7&gt;=$D24,DA$7&lt;=$D24+$F24-1),2,IF(AND($C24="Milestone",DA$7&gt;=$D24,DA$7&lt;=$D24+$F24-1),1,""))</f>
        <v/>
      </c>
      <c r="DB24" s="11" t="str">
        <f>IF(AND($C24="Goal",DB$7&gt;=$D24,DB$7&lt;=$D24+$F24-1),2,IF(AND($C24="Milestone",DB$7&gt;=$D24,DB$7&lt;=$D24+$F24-1),1,""))</f>
        <v/>
      </c>
      <c r="DC24" s="11" t="str">
        <f>IF(AND($C24="Goal",DC$7&gt;=$D24,DC$7&lt;=$D24+$F24-1),2,IF(AND($C24="Milestone",DC$7&gt;=$D24,DC$7&lt;=$D24+$F24-1),1,""))</f>
        <v/>
      </c>
      <c r="DD24" s="11" t="str">
        <f>IF(AND($C24="Goal",DD$7&gt;=$D24,DD$7&lt;=$D24+$F24-1),2,IF(AND($C24="Milestone",DD$7&gt;=$D24,DD$7&lt;=$D24+$F24-1),1,""))</f>
        <v/>
      </c>
      <c r="DE24" s="11" t="str">
        <f>IF(AND($C24="Goal",DE$7&gt;=$D24,DE$7&lt;=$D24+$F24-1),2,IF(AND($C24="Milestone",DE$7&gt;=$D24,DE$7&lt;=$D24+$F24-1),1,""))</f>
        <v/>
      </c>
      <c r="DF24" s="11" t="str">
        <f>IF(AND($C24="Goal",DF$7&gt;=$D24,DF$7&lt;=$D24+$F24-1),2,IF(AND($C24="Milestone",DF$7&gt;=$D24,DF$7&lt;=$D24+$F24-1),1,""))</f>
        <v/>
      </c>
    </row>
    <row r="25" spans="1:110" s="1" customFormat="1" ht="40.15" customHeight="1" x14ac:dyDescent="0.35">
      <c r="A25" s="4"/>
      <c r="B25" s="43" t="s">
        <v>19</v>
      </c>
      <c r="C25" s="13" t="s">
        <v>3</v>
      </c>
      <c r="D25" s="14">
        <v>46045</v>
      </c>
      <c r="E25" s="14">
        <f>Milestones4352[[#This Row],[Ínicio]]+Milestones4352[[#This Row],[Nº Dias]]-1</f>
        <v>46059</v>
      </c>
      <c r="F25" s="15">
        <v>15</v>
      </c>
      <c r="G25" s="13"/>
      <c r="H25" s="11" t="str">
        <f>IF(AND($C25="Goal",H$7&gt;=$D25,H$7&lt;=$D25+$F25-1),2,IF(AND($C25="Milestone",H$7&gt;=$D25,H$7&lt;=$D25+$F25-1),1,""))</f>
        <v/>
      </c>
      <c r="I25" s="11" t="str">
        <f>IF(AND($C25="Goal",I$7&gt;=$D25,I$7&lt;=$D25+$F25-1),2,IF(AND($C25="Milestone",I$7&gt;=$D25,I$7&lt;=$D25+$F25-1),1,""))</f>
        <v/>
      </c>
      <c r="J25" s="11" t="str">
        <f>IF(AND($C25="Goal",J$7&gt;=$D25,J$7&lt;=$D25+$F25-1),2,IF(AND($C25="Milestone",J$7&gt;=$D25,J$7&lt;=$D25+$F25-1),1,""))</f>
        <v/>
      </c>
      <c r="K25" s="11" t="str">
        <f>IF(AND($C25="Goal",K$7&gt;=$D25,K$7&lt;=$D25+$F25-1),2,IF(AND($C25="Milestone",K$7&gt;=$D25,K$7&lt;=$D25+$F25-1),1,""))</f>
        <v/>
      </c>
      <c r="L25" s="11" t="str">
        <f>IF(AND($C25="Goal",L$7&gt;=$D25,L$7&lt;=$D25+$F25-1),2,IF(AND($C25="Milestone",L$7&gt;=$D25,L$7&lt;=$D25+$F25-1),1,""))</f>
        <v/>
      </c>
      <c r="M25" s="11" t="str">
        <f>IF(AND($C25="Goal",M$7&gt;=$D25,M$7&lt;=$D25+$F25-1),2,IF(AND($C25="Milestone",M$7&gt;=$D25,M$7&lt;=$D25+$F25-1),1,""))</f>
        <v/>
      </c>
      <c r="N25" s="11" t="str">
        <f>IF(AND($C25="Goal",N$7&gt;=$D25,N$7&lt;=$D25+$F25-1),2,IF(AND($C25="Milestone",N$7&gt;=$D25,N$7&lt;=$D25+$F25-1),1,""))</f>
        <v/>
      </c>
      <c r="O25" s="11" t="str">
        <f>IF(AND($C25="Goal",O$7&gt;=$D25,O$7&lt;=$D25+$F25-1),2,IF(AND($C25="Milestone",O$7&gt;=$D25,O$7&lt;=$D25+$F25-1),1,""))</f>
        <v/>
      </c>
      <c r="P25" s="11" t="str">
        <f>IF(AND($C25="Goal",P$7&gt;=$D25,P$7&lt;=$D25+$F25-1),2,IF(AND($C25="Milestone",P$7&gt;=$D25,P$7&lt;=$D25+$F25-1),1,""))</f>
        <v/>
      </c>
      <c r="Q25" s="11" t="str">
        <f>IF(AND($C25="Goal",Q$7&gt;=$D25,Q$7&lt;=$D25+$F25-1),2,IF(AND($C25="Milestone",Q$7&gt;=$D25,Q$7&lt;=$D25+$F25-1),1,""))</f>
        <v/>
      </c>
      <c r="R25" s="11" t="str">
        <f>IF(AND($C25="Goal",R$7&gt;=$D25,R$7&lt;=$D25+$F25-1),2,IF(AND($C25="Milestone",R$7&gt;=$D25,R$7&lt;=$D25+$F25-1),1,""))</f>
        <v/>
      </c>
      <c r="S25" s="11" t="str">
        <f>IF(AND($C25="Goal",S$7&gt;=$D25,S$7&lt;=$D25+$F25-1),2,IF(AND($C25="Milestone",S$7&gt;=$D25,S$7&lt;=$D25+$F25-1),1,""))</f>
        <v/>
      </c>
      <c r="T25" s="11" t="str">
        <f>IF(AND($C25="Goal",T$7&gt;=$D25,T$7&lt;=$D25+$F25-1),2,IF(AND($C25="Milestone",T$7&gt;=$D25,T$7&lt;=$D25+$F25-1),1,""))</f>
        <v/>
      </c>
      <c r="U25" s="11" t="str">
        <f>IF(AND($C25="Goal",U$7&gt;=$D25,U$7&lt;=$D25+$F25-1),2,IF(AND($C25="Milestone",U$7&gt;=$D25,U$7&lt;=$D25+$F25-1),1,""))</f>
        <v/>
      </c>
      <c r="V25" s="11" t="str">
        <f>IF(AND($C25="Goal",V$7&gt;=$D25,V$7&lt;=$D25+$F25-1),2,IF(AND($C25="Milestone",V$7&gt;=$D25,V$7&lt;=$D25+$F25-1),1,""))</f>
        <v/>
      </c>
      <c r="W25" s="11" t="str">
        <f>IF(AND($C25="Goal",W$7&gt;=$D25,W$7&lt;=$D25+$F25-1),2,IF(AND($C25="Milestone",W$7&gt;=$D25,W$7&lt;=$D25+$F25-1),1,""))</f>
        <v/>
      </c>
      <c r="X25" s="11" t="str">
        <f>IF(AND($C25="Goal",X$7&gt;=$D25,X$7&lt;=$D25+$F25-1),2,IF(AND($C25="Milestone",X$7&gt;=$D25,X$7&lt;=$D25+$F25-1),1,""))</f>
        <v/>
      </c>
      <c r="Y25" s="11" t="str">
        <f>IF(AND($C25="Goal",Y$7&gt;=$D25,Y$7&lt;=$D25+$F25-1),2,IF(AND($C25="Milestone",Y$7&gt;=$D25,Y$7&lt;=$D25+$F25-1),1,""))</f>
        <v/>
      </c>
      <c r="Z25" s="11" t="str">
        <f>IF(AND($C25="Goal",Z$7&gt;=$D25,Z$7&lt;=$D25+$F25-1),2,IF(AND($C25="Milestone",Z$7&gt;=$D25,Z$7&lt;=$D25+$F25-1),1,""))</f>
        <v/>
      </c>
      <c r="AA25" s="11" t="str">
        <f>IF(AND($C25="Goal",AA$7&gt;=$D25,AA$7&lt;=$D25+$F25-1),2,IF(AND($C25="Milestone",AA$7&gt;=$D25,AA$7&lt;=$D25+$F25-1),1,""))</f>
        <v/>
      </c>
      <c r="AB25" s="11" t="str">
        <f>IF(AND($C25="Goal",AB$7&gt;=$D25,AB$7&lt;=$D25+$F25-1),2,IF(AND($C25="Milestone",AB$7&gt;=$D25,AB$7&lt;=$D25+$F25-1),1,""))</f>
        <v/>
      </c>
      <c r="AC25" s="11" t="str">
        <f>IF(AND($C25="Goal",AC$7&gt;=$D25,AC$7&lt;=$D25+$F25-1),2,IF(AND($C25="Milestone",AC$7&gt;=$D25,AC$7&lt;=$D25+$F25-1),1,""))</f>
        <v/>
      </c>
      <c r="AD25" s="11" t="str">
        <f>IF(AND($C25="Goal",AD$7&gt;=$D25,AD$7&lt;=$D25+$F25-1),2,IF(AND($C25="Milestone",AD$7&gt;=$D25,AD$7&lt;=$D25+$F25-1),1,""))</f>
        <v/>
      </c>
      <c r="AE25" s="11" t="str">
        <f>IF(AND($C25="Goal",AE$7&gt;=$D25,AE$7&lt;=$D25+$F25-1),2,IF(AND($C25="Milestone",AE$7&gt;=$D25,AE$7&lt;=$D25+$F25-1),1,""))</f>
        <v/>
      </c>
      <c r="AF25" s="11" t="str">
        <f>IF(AND($C25="Goal",AF$7&gt;=$D25,AF$7&lt;=$D25+$F25-1),2,IF(AND($C25="Milestone",AF$7&gt;=$D25,AF$7&lt;=$D25+$F25-1),1,""))</f>
        <v/>
      </c>
      <c r="AG25" s="11" t="str">
        <f>IF(AND($C25="Goal",AG$7&gt;=$D25,AG$7&lt;=$D25+$F25-1),2,IF(AND($C25="Milestone",AG$7&gt;=$D25,AG$7&lt;=$D25+$F25-1),1,""))</f>
        <v/>
      </c>
      <c r="AH25" s="11" t="str">
        <f>IF(AND($C25="Goal",AH$7&gt;=$D25,AH$7&lt;=$D25+$F25-1),2,IF(AND($C25="Milestone",AH$7&gt;=$D25,AH$7&lt;=$D25+$F25-1),1,""))</f>
        <v/>
      </c>
      <c r="AI25" s="11" t="str">
        <f>IF(AND($C25="Goal",AI$7&gt;=$D25,AI$7&lt;=$D25+$F25-1),2,IF(AND($C25="Milestone",AI$7&gt;=$D25,AI$7&lt;=$D25+$F25-1),1,""))</f>
        <v/>
      </c>
      <c r="AJ25" s="11" t="str">
        <f>IF(AND($C25="Goal",AJ$7&gt;=$D25,AJ$7&lt;=$D25+$F25-1),2,IF(AND($C25="Milestone",AJ$7&gt;=$D25,AJ$7&lt;=$D25+$F25-1),1,""))</f>
        <v/>
      </c>
      <c r="AK25" s="11" t="str">
        <f>IF(AND($C25="Goal",AK$7&gt;=$D25,AK$7&lt;=$D25+$F25-1),2,IF(AND($C25="Milestone",AK$7&gt;=$D25,AK$7&lt;=$D25+$F25-1),1,""))</f>
        <v/>
      </c>
      <c r="AL25" s="11" t="str">
        <f>IF(AND($C25="Goal",AL$7&gt;=$D25,AL$7&lt;=$D25+$F25-1),2,IF(AND($C25="Milestone",AL$7&gt;=$D25,AL$7&lt;=$D25+$F25-1),1,""))</f>
        <v/>
      </c>
      <c r="AM25" s="11" t="str">
        <f>IF(AND($C25="Goal",AM$7&gt;=$D25,AM$7&lt;=$D25+$F25-1),2,IF(AND($C25="Milestone",AM$7&gt;=$D25,AM$7&lt;=$D25+$F25-1),1,""))</f>
        <v/>
      </c>
      <c r="AN25" s="11" t="str">
        <f>IF(AND($C25="Goal",AN$7&gt;=$D25,AN$7&lt;=$D25+$F25-1),2,IF(AND($C25="Milestone",AN$7&gt;=$D25,AN$7&lt;=$D25+$F25-1),1,""))</f>
        <v/>
      </c>
      <c r="AO25" s="11" t="str">
        <f>IF(AND($C25="Goal",AO$7&gt;=$D25,AO$7&lt;=$D25+$F25-1),2,IF(AND($C25="Milestone",AO$7&gt;=$D25,AO$7&lt;=$D25+$F25-1),1,""))</f>
        <v/>
      </c>
      <c r="AP25" s="11" t="str">
        <f>IF(AND($C25="Goal",AP$7&gt;=$D25,AP$7&lt;=$D25+$F25-1),2,IF(AND($C25="Milestone",AP$7&gt;=$D25,AP$7&lt;=$D25+$F25-1),1,""))</f>
        <v/>
      </c>
      <c r="AQ25" s="11" t="str">
        <f>IF(AND($C25="Goal",AQ$7&gt;=$D25,AQ$7&lt;=$D25+$F25-1),2,IF(AND($C25="Milestone",AQ$7&gt;=$D25,AQ$7&lt;=$D25+$F25-1),1,""))</f>
        <v/>
      </c>
      <c r="AR25" s="11" t="str">
        <f>IF(AND($C25="Goal",AR$7&gt;=$D25,AR$7&lt;=$D25+$F25-1),2,IF(AND($C25="Milestone",AR$7&gt;=$D25,AR$7&lt;=$D25+$F25-1),1,""))</f>
        <v/>
      </c>
      <c r="AS25" s="11" t="str">
        <f>IF(AND($C25="Goal",AS$7&gt;=$D25,AS$7&lt;=$D25+$F25-1),2,IF(AND($C25="Milestone",AS$7&gt;=$D25,AS$7&lt;=$D25+$F25-1),1,""))</f>
        <v/>
      </c>
      <c r="AT25" s="11" t="str">
        <f>IF(AND($C25="Goal",AT$7&gt;=$D25,AT$7&lt;=$D25+$F25-1),2,IF(AND($C25="Milestone",AT$7&gt;=$D25,AT$7&lt;=$D25+$F25-1),1,""))</f>
        <v/>
      </c>
      <c r="AU25" s="11" t="str">
        <f>IF(AND($C25="Goal",AU$7&gt;=$D25,AU$7&lt;=$D25+$F25-1),2,IF(AND($C25="Milestone",AU$7&gt;=$D25,AU$7&lt;=$D25+$F25-1),1,""))</f>
        <v/>
      </c>
      <c r="AV25" s="11" t="str">
        <f>IF(AND($C25="Goal",AV$7&gt;=$D25,AV$7&lt;=$D25+$F25-1),2,IF(AND($C25="Milestone",AV$7&gt;=$D25,AV$7&lt;=$D25+$F25-1),1,""))</f>
        <v/>
      </c>
      <c r="AW25" s="11" t="str">
        <f>IF(AND($C25="Goal",AW$7&gt;=$D25,AW$7&lt;=$D25+$F25-1),2,IF(AND($C25="Milestone",AW$7&gt;=$D25,AW$7&lt;=$D25+$F25-1),1,""))</f>
        <v/>
      </c>
      <c r="AX25" s="11" t="str">
        <f>IF(AND($C25="Goal",AX$7&gt;=$D25,AX$7&lt;=$D25+$F25-1),2,IF(AND($C25="Milestone",AX$7&gt;=$D25,AX$7&lt;=$D25+$F25-1),1,""))</f>
        <v/>
      </c>
      <c r="AY25" s="11" t="str">
        <f>IF(AND($C25="Goal",AY$7&gt;=$D25,AY$7&lt;=$D25+$F25-1),2,IF(AND($C25="Milestone",AY$7&gt;=$D25,AY$7&lt;=$D25+$F25-1),1,""))</f>
        <v/>
      </c>
      <c r="AZ25" s="11" t="str">
        <f>IF(AND($C25="Goal",AZ$7&gt;=$D25,AZ$7&lt;=$D25+$F25-1),2,IF(AND($C25="Milestone",AZ$7&gt;=$D25,AZ$7&lt;=$D25+$F25-1),1,""))</f>
        <v/>
      </c>
      <c r="BA25" s="11" t="str">
        <f>IF(AND($C25="Goal",BA$7&gt;=$D25,BA$7&lt;=$D25+$F25-1),2,IF(AND($C25="Milestone",BA$7&gt;=$D25,BA$7&lt;=$D25+$F25-1),1,""))</f>
        <v/>
      </c>
      <c r="BB25" s="11" t="str">
        <f>IF(AND($C25="Goal",BB$7&gt;=$D25,BB$7&lt;=$D25+$F25-1),2,IF(AND($C25="Milestone",BB$7&gt;=$D25,BB$7&lt;=$D25+$F25-1),1,""))</f>
        <v/>
      </c>
      <c r="BC25" s="11" t="str">
        <f>IF(AND($C25="Goal",BC$7&gt;=$D25,BC$7&lt;=$D25+$F25-1),2,IF(AND($C25="Milestone",BC$7&gt;=$D25,BC$7&lt;=$D25+$F25-1),1,""))</f>
        <v/>
      </c>
      <c r="BD25" s="11" t="str">
        <f>IF(AND($C25="Goal",BD$7&gt;=$D25,BD$7&lt;=$D25+$F25-1),2,IF(AND($C25="Milestone",BD$7&gt;=$D25,BD$7&lt;=$D25+$F25-1),1,""))</f>
        <v/>
      </c>
      <c r="BE25" s="11" t="str">
        <f>IF(AND($C25="Goal",BE$7&gt;=$D25,BE$7&lt;=$D25+$F25-1),2,IF(AND($C25="Milestone",BE$7&gt;=$D25,BE$7&lt;=$D25+$F25-1),1,""))</f>
        <v/>
      </c>
      <c r="BF25" s="11" t="str">
        <f>IF(AND($C25="Goal",BF$7&gt;=$D25,BF$7&lt;=$D25+$F25-1),2,IF(AND($C25="Milestone",BF$7&gt;=$D25,BF$7&lt;=$D25+$F25-1),1,""))</f>
        <v/>
      </c>
      <c r="BG25" s="11" t="str">
        <f>IF(AND($C25="Goal",BG$7&gt;=$D25,BG$7&lt;=$D25+$F25-1),2,IF(AND($C25="Milestone",BG$7&gt;=$D25,BG$7&lt;=$D25+$F25-1),1,""))</f>
        <v/>
      </c>
      <c r="BH25" s="11" t="str">
        <f>IF(AND($C25="Goal",BH$7&gt;=$D25,BH$7&lt;=$D25+$F25-1),2,IF(AND($C25="Milestone",BH$7&gt;=$D25,BH$7&lt;=$D25+$F25-1),1,""))</f>
        <v/>
      </c>
      <c r="BI25" s="11" t="str">
        <f>IF(AND($C25="Goal",BI$7&gt;=$D25,BI$7&lt;=$D25+$F25-1),2,IF(AND($C25="Milestone",BI$7&gt;=$D25,BI$7&lt;=$D25+$F25-1),1,""))</f>
        <v/>
      </c>
      <c r="BJ25" s="11" t="str">
        <f>IF(AND($C25="Goal",BJ$7&gt;=$D25,BJ$7&lt;=$D25+$F25-1),2,IF(AND($C25="Milestone",BJ$7&gt;=$D25,BJ$7&lt;=$D25+$F25-1),1,""))</f>
        <v/>
      </c>
      <c r="BK25" s="11" t="str">
        <f>IF(AND($C25="Goal",BK$7&gt;=$D25,BK$7&lt;=$D25+$F25-1),2,IF(AND($C25="Milestone",BK$7&gt;=$D25,BK$7&lt;=$D25+$F25-1),1,""))</f>
        <v/>
      </c>
      <c r="BL25" s="11" t="str">
        <f>IF(AND($C25="Goal",BL$7&gt;=$D25,BL$7&lt;=$D25+$F25-1),2,IF(AND($C25="Milestone",BL$7&gt;=$D25,BL$7&lt;=$D25+$F25-1),1,""))</f>
        <v/>
      </c>
      <c r="BM25" s="11" t="str">
        <f>IF(AND($C25="Goal",BM$7&gt;=$D25,BM$7&lt;=$D25+$F25-1),2,IF(AND($C25="Milestone",BM$7&gt;=$D25,BM$7&lt;=$D25+$F25-1),1,""))</f>
        <v/>
      </c>
      <c r="BN25" s="11" t="str">
        <f>IF(AND($C25="Goal",BN$7&gt;=$D25,BN$7&lt;=$D25+$F25-1),2,IF(AND($C25="Milestone",BN$7&gt;=$D25,BN$7&lt;=$D25+$F25-1),1,""))</f>
        <v/>
      </c>
      <c r="BO25" s="11" t="str">
        <f>IF(AND($C25="Goal",BO$7&gt;=$D25,BO$7&lt;=$D25+$F25-1),2,IF(AND($C25="Milestone",BO$7&gt;=$D25,BO$7&lt;=$D25+$F25-1),1,""))</f>
        <v/>
      </c>
      <c r="BP25" s="11" t="str">
        <f>IF(AND($C25="Goal",BP$7&gt;=$D25,BP$7&lt;=$D25+$F25-1),2,IF(AND($C25="Milestone",BP$7&gt;=$D25,BP$7&lt;=$D25+$F25-1),1,""))</f>
        <v/>
      </c>
      <c r="BQ25" s="11" t="str">
        <f>IF(AND($C25="Goal",BQ$7&gt;=$D25,BQ$7&lt;=$D25+$F25-1),2,IF(AND($C25="Milestone",BQ$7&gt;=$D25,BQ$7&lt;=$D25+$F25-1),1,""))</f>
        <v/>
      </c>
      <c r="BR25" s="11" t="str">
        <f>IF(AND($C25="Goal",BR$7&gt;=$D25,BR$7&lt;=$D25+$F25-1),2,IF(AND($C25="Milestone",BR$7&gt;=$D25,BR$7&lt;=$D25+$F25-1),1,""))</f>
        <v/>
      </c>
      <c r="BS25" s="11" t="str">
        <f>IF(AND($C25="Goal",BS$7&gt;=$D25,BS$7&lt;=$D25+$F25-1),2,IF(AND($C25="Milestone",BS$7&gt;=$D25,BS$7&lt;=$D25+$F25-1),1,""))</f>
        <v/>
      </c>
      <c r="BT25" s="11" t="str">
        <f>IF(AND($C25="Goal",BT$7&gt;=$D25,BT$7&lt;=$D25+$F25-1),2,IF(AND($C25="Milestone",BT$7&gt;=$D25,BT$7&lt;=$D25+$F25-1),1,""))</f>
        <v/>
      </c>
      <c r="BU25" s="11" t="str">
        <f>IF(AND($C25="Goal",BU$7&gt;=$D25,BU$7&lt;=$D25+$F25-1),2,IF(AND($C25="Milestone",BU$7&gt;=$D25,BU$7&lt;=$D25+$F25-1),1,""))</f>
        <v/>
      </c>
      <c r="BV25" s="11" t="str">
        <f>IF(AND($C25="Goal",BV$7&gt;=$D25,BV$7&lt;=$D25+$F25-1),2,IF(AND($C25="Milestone",BV$7&gt;=$D25,BV$7&lt;=$D25+$F25-1),1,""))</f>
        <v/>
      </c>
      <c r="BW25" s="11" t="str">
        <f>IF(AND($C25="Goal",BW$7&gt;=$D25,BW$7&lt;=$D25+$F25-1),2,IF(AND($C25="Milestone",BW$7&gt;=$D25,BW$7&lt;=$D25+$F25-1),1,""))</f>
        <v/>
      </c>
      <c r="BX25" s="11" t="str">
        <f>IF(AND($C25="Goal",BX$7&gt;=$D25,BX$7&lt;=$D25+$F25-1),2,IF(AND($C25="Milestone",BX$7&gt;=$D25,BX$7&lt;=$D25+$F25-1),1,""))</f>
        <v/>
      </c>
      <c r="BY25" s="11" t="str">
        <f>IF(AND($C25="Goal",BY$7&gt;=$D25,BY$7&lt;=$D25+$F25-1),2,IF(AND($C25="Milestone",BY$7&gt;=$D25,BY$7&lt;=$D25+$F25-1),1,""))</f>
        <v/>
      </c>
      <c r="BZ25" s="11" t="str">
        <f>IF(AND($C25="Goal",BZ$7&gt;=$D25,BZ$7&lt;=$D25+$F25-1),2,IF(AND($C25="Milestone",BZ$7&gt;=$D25,BZ$7&lt;=$D25+$F25-1),1,""))</f>
        <v/>
      </c>
      <c r="CA25" s="11" t="str">
        <f>IF(AND($C25="Goal",CA$7&gt;=$D25,CA$7&lt;=$D25+$F25-1),2,IF(AND($C25="Milestone",CA$7&gt;=$D25,CA$7&lt;=$D25+$F25-1),1,""))</f>
        <v/>
      </c>
      <c r="CB25" s="11" t="str">
        <f>IF(AND($C25="Goal",CB$7&gt;=$D25,CB$7&lt;=$D25+$F25-1),2,IF(AND($C25="Milestone",CB$7&gt;=$D25,CB$7&lt;=$D25+$F25-1),1,""))</f>
        <v/>
      </c>
      <c r="CC25" s="11" t="str">
        <f>IF(AND($C25="Goal",CC$7&gt;=$D25,CC$7&lt;=$D25+$F25-1),2,IF(AND($C25="Milestone",CC$7&gt;=$D25,CC$7&lt;=$D25+$F25-1),1,""))</f>
        <v/>
      </c>
      <c r="CD25" s="11" t="str">
        <f>IF(AND($C25="Goal",CD$7&gt;=$D25,CD$7&lt;=$D25+$F25-1),2,IF(AND($C25="Milestone",CD$7&gt;=$D25,CD$7&lt;=$D25+$F25-1),1,""))</f>
        <v/>
      </c>
      <c r="CE25" s="11" t="str">
        <f>IF(AND($C25="Goal",CE$7&gt;=$D25,CE$7&lt;=$D25+$F25-1),2,IF(AND($C25="Milestone",CE$7&gt;=$D25,CE$7&lt;=$D25+$F25-1),1,""))</f>
        <v/>
      </c>
      <c r="CF25" s="11" t="str">
        <f>IF(AND($C25="Goal",CF$7&gt;=$D25,CF$7&lt;=$D25+$F25-1),2,IF(AND($C25="Milestone",CF$7&gt;=$D25,CF$7&lt;=$D25+$F25-1),1,""))</f>
        <v/>
      </c>
      <c r="CG25" s="11" t="str">
        <f>IF(AND($C25="Goal",CG$7&gt;=$D25,CG$7&lt;=$D25+$F25-1),2,IF(AND($C25="Milestone",CG$7&gt;=$D25,CG$7&lt;=$D25+$F25-1),1,""))</f>
        <v/>
      </c>
      <c r="CH25" s="11" t="str">
        <f>IF(AND($C25="Goal",CH$7&gt;=$D25,CH$7&lt;=$D25+$F25-1),2,IF(AND($C25="Milestone",CH$7&gt;=$D25,CH$7&lt;=$D25+$F25-1),1,""))</f>
        <v/>
      </c>
      <c r="CI25" s="11" t="str">
        <f>IF(AND($C25="Goal",CI$7&gt;=$D25,CI$7&lt;=$D25+$F25-1),2,IF(AND($C25="Milestone",CI$7&gt;=$D25,CI$7&lt;=$D25+$F25-1),1,""))</f>
        <v/>
      </c>
      <c r="CJ25" s="11" t="str">
        <f>IF(AND($C25="Goal",CJ$7&gt;=$D25,CJ$7&lt;=$D25+$F25-1),2,IF(AND($C25="Milestone",CJ$7&gt;=$D25,CJ$7&lt;=$D25+$F25-1),1,""))</f>
        <v/>
      </c>
      <c r="CK25" s="11" t="str">
        <f>IF(AND($C25="Goal",CK$7&gt;=$D25,CK$7&lt;=$D25+$F25-1),2,IF(AND($C25="Milestone",CK$7&gt;=$D25,CK$7&lt;=$D25+$F25-1),1,""))</f>
        <v/>
      </c>
      <c r="CL25" s="11" t="str">
        <f>IF(AND($C25="Goal",CL$7&gt;=$D25,CL$7&lt;=$D25+$F25-1),2,IF(AND($C25="Milestone",CL$7&gt;=$D25,CL$7&lt;=$D25+$F25-1),1,""))</f>
        <v/>
      </c>
      <c r="CM25" s="11" t="str">
        <f>IF(AND($C25="Goal",CM$7&gt;=$D25,CM$7&lt;=$D25+$F25-1),2,IF(AND($C25="Milestone",CM$7&gt;=$D25,CM$7&lt;=$D25+$F25-1),1,""))</f>
        <v/>
      </c>
      <c r="CN25" s="11" t="str">
        <f>IF(AND($C25="Goal",CN$7&gt;=$D25,CN$7&lt;=$D25+$F25-1),2,IF(AND($C25="Milestone",CN$7&gt;=$D25,CN$7&lt;=$D25+$F25-1),1,""))</f>
        <v/>
      </c>
      <c r="CO25" s="11" t="str">
        <f>IF(AND($C25="Goal",CO$7&gt;=$D25,CO$7&lt;=$D25+$F25-1),2,IF(AND($C25="Milestone",CO$7&gt;=$D25,CO$7&lt;=$D25+$F25-1),1,""))</f>
        <v/>
      </c>
      <c r="CP25" s="11" t="str">
        <f>IF(AND($C25="Goal",CP$7&gt;=$D25,CP$7&lt;=$D25+$F25-1),2,IF(AND($C25="Milestone",CP$7&gt;=$D25,CP$7&lt;=$D25+$F25-1),1,""))</f>
        <v/>
      </c>
      <c r="CQ25" s="11" t="str">
        <f>IF(AND($C25="Goal",CQ$7&gt;=$D25,CQ$7&lt;=$D25+$F25-1),2,IF(AND($C25="Milestone",CQ$7&gt;=$D25,CQ$7&lt;=$D25+$F25-1),1,""))</f>
        <v/>
      </c>
      <c r="CR25" s="11" t="str">
        <f>IF(AND($C25="Goal",CR$7&gt;=$D25,CR$7&lt;=$D25+$F25-1),2,IF(AND($C25="Milestone",CR$7&gt;=$D25,CR$7&lt;=$D25+$F25-1),1,""))</f>
        <v/>
      </c>
      <c r="CS25" s="11" t="str">
        <f>IF(AND($C25="Goal",CS$7&gt;=$D25,CS$7&lt;=$D25+$F25-1),2,IF(AND($C25="Milestone",CS$7&gt;=$D25,CS$7&lt;=$D25+$F25-1),1,""))</f>
        <v/>
      </c>
      <c r="CT25" s="11" t="str">
        <f>IF(AND($C25="Goal",CT$7&gt;=$D25,CT$7&lt;=$D25+$F25-1),2,IF(AND($C25="Milestone",CT$7&gt;=$D25,CT$7&lt;=$D25+$F25-1),1,""))</f>
        <v/>
      </c>
      <c r="CU25" s="11" t="str">
        <f>IF(AND($C25="Goal",CU$7&gt;=$D25,CU$7&lt;=$D25+$F25-1),2,IF(AND($C25="Milestone",CU$7&gt;=$D25,CU$7&lt;=$D25+$F25-1),1,""))</f>
        <v/>
      </c>
      <c r="CV25" s="11" t="str">
        <f>IF(AND($C25="Goal",CV$7&gt;=$D25,CV$7&lt;=$D25+$F25-1),2,IF(AND($C25="Milestone",CV$7&gt;=$D25,CV$7&lt;=$D25+$F25-1),1,""))</f>
        <v/>
      </c>
      <c r="CW25" s="11" t="str">
        <f>IF(AND($C25="Goal",CW$7&gt;=$D25,CW$7&lt;=$D25+$F25-1),2,IF(AND($C25="Milestone",CW$7&gt;=$D25,CW$7&lt;=$D25+$F25-1),1,""))</f>
        <v/>
      </c>
      <c r="CX25" s="11" t="str">
        <f>IF(AND($C25="Goal",CX$7&gt;=$D25,CX$7&lt;=$D25+$F25-1),2,IF(AND($C25="Milestone",CX$7&gt;=$D25,CX$7&lt;=$D25+$F25-1),1,""))</f>
        <v/>
      </c>
      <c r="CY25" s="11" t="str">
        <f>IF(AND($C25="Goal",CY$7&gt;=$D25,CY$7&lt;=$D25+$F25-1),2,IF(AND($C25="Milestone",CY$7&gt;=$D25,CY$7&lt;=$D25+$F25-1),1,""))</f>
        <v/>
      </c>
      <c r="CZ25" s="11" t="str">
        <f>IF(AND($C25="Goal",CZ$7&gt;=$D25,CZ$7&lt;=$D25+$F25-1),2,IF(AND($C25="Milestone",CZ$7&gt;=$D25,CZ$7&lt;=$D25+$F25-1),1,""))</f>
        <v/>
      </c>
      <c r="DA25" s="11" t="str">
        <f>IF(AND($C25="Goal",DA$7&gt;=$D25,DA$7&lt;=$D25+$F25-1),2,IF(AND($C25="Milestone",DA$7&gt;=$D25,DA$7&lt;=$D25+$F25-1),1,""))</f>
        <v/>
      </c>
      <c r="DB25" s="11" t="str">
        <f>IF(AND($C25="Goal",DB$7&gt;=$D25,DB$7&lt;=$D25+$F25-1),2,IF(AND($C25="Milestone",DB$7&gt;=$D25,DB$7&lt;=$D25+$F25-1),1,""))</f>
        <v/>
      </c>
      <c r="DC25" s="11" t="str">
        <f>IF(AND($C25="Goal",DC$7&gt;=$D25,DC$7&lt;=$D25+$F25-1),2,IF(AND($C25="Milestone",DC$7&gt;=$D25,DC$7&lt;=$D25+$F25-1),1,""))</f>
        <v/>
      </c>
      <c r="DD25" s="11" t="str">
        <f>IF(AND($C25="Goal",DD$7&gt;=$D25,DD$7&lt;=$D25+$F25-1),2,IF(AND($C25="Milestone",DD$7&gt;=$D25,DD$7&lt;=$D25+$F25-1),1,""))</f>
        <v/>
      </c>
      <c r="DE25" s="11" t="str">
        <f>IF(AND($C25="Goal",DE$7&gt;=$D25,DE$7&lt;=$D25+$F25-1),2,IF(AND($C25="Milestone",DE$7&gt;=$D25,DE$7&lt;=$D25+$F25-1),1,""))</f>
        <v/>
      </c>
      <c r="DF25" s="11" t="str">
        <f>IF(AND($C25="Goal",DF$7&gt;=$D25,DF$7&lt;=$D25+$F25-1),2,IF(AND($C25="Milestone",DF$7&gt;=$D25,DF$7&lt;=$D25+$F25-1),1,""))</f>
        <v/>
      </c>
    </row>
    <row r="26" spans="1:110" s="1" customFormat="1" ht="40.15" customHeight="1" x14ac:dyDescent="0.35">
      <c r="A26" s="4"/>
      <c r="B26" s="43" t="s">
        <v>20</v>
      </c>
      <c r="C26" s="13" t="s">
        <v>3</v>
      </c>
      <c r="D26" s="14">
        <f>D25</f>
        <v>46045</v>
      </c>
      <c r="E26" s="14">
        <f>Milestones4352[[#This Row],[Ínicio]]+Milestones4352[[#This Row],[Nº Dias]]-1</f>
        <v>46059</v>
      </c>
      <c r="F26" s="15">
        <v>15</v>
      </c>
      <c r="G26" s="13"/>
      <c r="H26" s="11" t="str">
        <f>IF(AND($C26="Goal",H$7&gt;=$D26,H$7&lt;=$D26+$F26-1),2,IF(AND($C26="Milestone",H$7&gt;=$D26,H$7&lt;=$D26+$F26-1),1,""))</f>
        <v/>
      </c>
      <c r="I26" s="11" t="str">
        <f>IF(AND($C26="Goal",I$7&gt;=$D26,I$7&lt;=$D26+$F26-1),2,IF(AND($C26="Milestone",I$7&gt;=$D26,I$7&lt;=$D26+$F26-1),1,""))</f>
        <v/>
      </c>
      <c r="J26" s="11" t="str">
        <f>IF(AND($C26="Goal",J$7&gt;=$D26,J$7&lt;=$D26+$F26-1),2,IF(AND($C26="Milestone",J$7&gt;=$D26,J$7&lt;=$D26+$F26-1),1,""))</f>
        <v/>
      </c>
      <c r="K26" s="11" t="str">
        <f>IF(AND($C26="Goal",K$7&gt;=$D26,K$7&lt;=$D26+$F26-1),2,IF(AND($C26="Milestone",K$7&gt;=$D26,K$7&lt;=$D26+$F26-1),1,""))</f>
        <v/>
      </c>
      <c r="L26" s="11" t="str">
        <f>IF(AND($C26="Goal",L$7&gt;=$D26,L$7&lt;=$D26+$F26-1),2,IF(AND($C26="Milestone",L$7&gt;=$D26,L$7&lt;=$D26+$F26-1),1,""))</f>
        <v/>
      </c>
      <c r="M26" s="11" t="str">
        <f>IF(AND($C26="Goal",M$7&gt;=$D26,M$7&lt;=$D26+$F26-1),2,IF(AND($C26="Milestone",M$7&gt;=$D26,M$7&lt;=$D26+$F26-1),1,""))</f>
        <v/>
      </c>
      <c r="N26" s="11" t="str">
        <f>IF(AND($C26="Goal",N$7&gt;=$D26,N$7&lt;=$D26+$F26-1),2,IF(AND($C26="Milestone",N$7&gt;=$D26,N$7&lt;=$D26+$F26-1),1,""))</f>
        <v/>
      </c>
      <c r="O26" s="11" t="str">
        <f>IF(AND($C26="Goal",O$7&gt;=$D26,O$7&lt;=$D26+$F26-1),2,IF(AND($C26="Milestone",O$7&gt;=$D26,O$7&lt;=$D26+$F26-1),1,""))</f>
        <v/>
      </c>
      <c r="P26" s="11" t="str">
        <f>IF(AND($C26="Goal",P$7&gt;=$D26,P$7&lt;=$D26+$F26-1),2,IF(AND($C26="Milestone",P$7&gt;=$D26,P$7&lt;=$D26+$F26-1),1,""))</f>
        <v/>
      </c>
      <c r="Q26" s="11" t="str">
        <f>IF(AND($C26="Goal",Q$7&gt;=$D26,Q$7&lt;=$D26+$F26-1),2,IF(AND($C26="Milestone",Q$7&gt;=$D26,Q$7&lt;=$D26+$F26-1),1,""))</f>
        <v/>
      </c>
      <c r="R26" s="11" t="str">
        <f>IF(AND($C26="Goal",R$7&gt;=$D26,R$7&lt;=$D26+$F26-1),2,IF(AND($C26="Milestone",R$7&gt;=$D26,R$7&lt;=$D26+$F26-1),1,""))</f>
        <v/>
      </c>
      <c r="S26" s="11" t="str">
        <f>IF(AND($C26="Goal",S$7&gt;=$D26,S$7&lt;=$D26+$F26-1),2,IF(AND($C26="Milestone",S$7&gt;=$D26,S$7&lt;=$D26+$F26-1),1,""))</f>
        <v/>
      </c>
      <c r="T26" s="11" t="str">
        <f>IF(AND($C26="Goal",T$7&gt;=$D26,T$7&lt;=$D26+$F26-1),2,IF(AND($C26="Milestone",T$7&gt;=$D26,T$7&lt;=$D26+$F26-1),1,""))</f>
        <v/>
      </c>
      <c r="U26" s="11" t="str">
        <f>IF(AND($C26="Goal",U$7&gt;=$D26,U$7&lt;=$D26+$F26-1),2,IF(AND($C26="Milestone",U$7&gt;=$D26,U$7&lt;=$D26+$F26-1),1,""))</f>
        <v/>
      </c>
      <c r="V26" s="11" t="str">
        <f>IF(AND($C26="Goal",V$7&gt;=$D26,V$7&lt;=$D26+$F26-1),2,IF(AND($C26="Milestone",V$7&gt;=$D26,V$7&lt;=$D26+$F26-1),1,""))</f>
        <v/>
      </c>
      <c r="W26" s="11" t="str">
        <f>IF(AND($C26="Goal",W$7&gt;=$D26,W$7&lt;=$D26+$F26-1),2,IF(AND($C26="Milestone",W$7&gt;=$D26,W$7&lt;=$D26+$F26-1),1,""))</f>
        <v/>
      </c>
      <c r="X26" s="11" t="str">
        <f>IF(AND($C26="Goal",X$7&gt;=$D26,X$7&lt;=$D26+$F26-1),2,IF(AND($C26="Milestone",X$7&gt;=$D26,X$7&lt;=$D26+$F26-1),1,""))</f>
        <v/>
      </c>
      <c r="Y26" s="11" t="str">
        <f>IF(AND($C26="Goal",Y$7&gt;=$D26,Y$7&lt;=$D26+$F26-1),2,IF(AND($C26="Milestone",Y$7&gt;=$D26,Y$7&lt;=$D26+$F26-1),1,""))</f>
        <v/>
      </c>
      <c r="Z26" s="11" t="str">
        <f>IF(AND($C26="Goal",Z$7&gt;=$D26,Z$7&lt;=$D26+$F26-1),2,IF(AND($C26="Milestone",Z$7&gt;=$D26,Z$7&lt;=$D26+$F26-1),1,""))</f>
        <v/>
      </c>
      <c r="AA26" s="11" t="str">
        <f>IF(AND($C26="Goal",AA$7&gt;=$D26,AA$7&lt;=$D26+$F26-1),2,IF(AND($C26="Milestone",AA$7&gt;=$D26,AA$7&lt;=$D26+$F26-1),1,""))</f>
        <v/>
      </c>
      <c r="AB26" s="11" t="str">
        <f>IF(AND($C26="Goal",AB$7&gt;=$D26,AB$7&lt;=$D26+$F26-1),2,IF(AND($C26="Milestone",AB$7&gt;=$D26,AB$7&lt;=$D26+$F26-1),1,""))</f>
        <v/>
      </c>
      <c r="AC26" s="11" t="str">
        <f>IF(AND($C26="Goal",AC$7&gt;=$D26,AC$7&lt;=$D26+$F26-1),2,IF(AND($C26="Milestone",AC$7&gt;=$D26,AC$7&lt;=$D26+$F26-1),1,""))</f>
        <v/>
      </c>
      <c r="AD26" s="11" t="str">
        <f>IF(AND($C26="Goal",AD$7&gt;=$D26,AD$7&lt;=$D26+$F26-1),2,IF(AND($C26="Milestone",AD$7&gt;=$D26,AD$7&lt;=$D26+$F26-1),1,""))</f>
        <v/>
      </c>
      <c r="AE26" s="11" t="str">
        <f>IF(AND($C26="Goal",AE$7&gt;=$D26,AE$7&lt;=$D26+$F26-1),2,IF(AND($C26="Milestone",AE$7&gt;=$D26,AE$7&lt;=$D26+$F26-1),1,""))</f>
        <v/>
      </c>
      <c r="AF26" s="11" t="str">
        <f>IF(AND($C26="Goal",AF$7&gt;=$D26,AF$7&lt;=$D26+$F26-1),2,IF(AND($C26="Milestone",AF$7&gt;=$D26,AF$7&lt;=$D26+$F26-1),1,""))</f>
        <v/>
      </c>
      <c r="AG26" s="11" t="str">
        <f>IF(AND($C26="Goal",AG$7&gt;=$D26,AG$7&lt;=$D26+$F26-1),2,IF(AND($C26="Milestone",AG$7&gt;=$D26,AG$7&lt;=$D26+$F26-1),1,""))</f>
        <v/>
      </c>
      <c r="AH26" s="11" t="str">
        <f>IF(AND($C26="Goal",AH$7&gt;=$D26,AH$7&lt;=$D26+$F26-1),2,IF(AND($C26="Milestone",AH$7&gt;=$D26,AH$7&lt;=$D26+$F26-1),1,""))</f>
        <v/>
      </c>
      <c r="AI26" s="11" t="str">
        <f>IF(AND($C26="Goal",AI$7&gt;=$D26,AI$7&lt;=$D26+$F26-1),2,IF(AND($C26="Milestone",AI$7&gt;=$D26,AI$7&lt;=$D26+$F26-1),1,""))</f>
        <v/>
      </c>
      <c r="AJ26" s="11" t="str">
        <f>IF(AND($C26="Goal",AJ$7&gt;=$D26,AJ$7&lt;=$D26+$F26-1),2,IF(AND($C26="Milestone",AJ$7&gt;=$D26,AJ$7&lt;=$D26+$F26-1),1,""))</f>
        <v/>
      </c>
      <c r="AK26" s="11" t="str">
        <f>IF(AND($C26="Goal",AK$7&gt;=$D26,AK$7&lt;=$D26+$F26-1),2,IF(AND($C26="Milestone",AK$7&gt;=$D26,AK$7&lt;=$D26+$F26-1),1,""))</f>
        <v/>
      </c>
      <c r="AL26" s="11" t="str">
        <f>IF(AND($C26="Goal",AL$7&gt;=$D26,AL$7&lt;=$D26+$F26-1),2,IF(AND($C26="Milestone",AL$7&gt;=$D26,AL$7&lt;=$D26+$F26-1),1,""))</f>
        <v/>
      </c>
      <c r="AM26" s="11" t="str">
        <f>IF(AND($C26="Goal",AM$7&gt;=$D26,AM$7&lt;=$D26+$F26-1),2,IF(AND($C26="Milestone",AM$7&gt;=$D26,AM$7&lt;=$D26+$F26-1),1,""))</f>
        <v/>
      </c>
      <c r="AN26" s="11" t="str">
        <f>IF(AND($C26="Goal",AN$7&gt;=$D26,AN$7&lt;=$D26+$F26-1),2,IF(AND($C26="Milestone",AN$7&gt;=$D26,AN$7&lt;=$D26+$F26-1),1,""))</f>
        <v/>
      </c>
      <c r="AO26" s="11" t="str">
        <f>IF(AND($C26="Goal",AO$7&gt;=$D26,AO$7&lt;=$D26+$F26-1),2,IF(AND($C26="Milestone",AO$7&gt;=$D26,AO$7&lt;=$D26+$F26-1),1,""))</f>
        <v/>
      </c>
      <c r="AP26" s="11" t="str">
        <f>IF(AND($C26="Goal",AP$7&gt;=$D26,AP$7&lt;=$D26+$F26-1),2,IF(AND($C26="Milestone",AP$7&gt;=$D26,AP$7&lt;=$D26+$F26-1),1,""))</f>
        <v/>
      </c>
      <c r="AQ26" s="11" t="str">
        <f>IF(AND($C26="Goal",AQ$7&gt;=$D26,AQ$7&lt;=$D26+$F26-1),2,IF(AND($C26="Milestone",AQ$7&gt;=$D26,AQ$7&lt;=$D26+$F26-1),1,""))</f>
        <v/>
      </c>
      <c r="AR26" s="11" t="str">
        <f>IF(AND($C26="Goal",AR$7&gt;=$D26,AR$7&lt;=$D26+$F26-1),2,IF(AND($C26="Milestone",AR$7&gt;=$D26,AR$7&lt;=$D26+$F26-1),1,""))</f>
        <v/>
      </c>
      <c r="AS26" s="11" t="str">
        <f>IF(AND($C26="Goal",AS$7&gt;=$D26,AS$7&lt;=$D26+$F26-1),2,IF(AND($C26="Milestone",AS$7&gt;=$D26,AS$7&lt;=$D26+$F26-1),1,""))</f>
        <v/>
      </c>
      <c r="AT26" s="11" t="str">
        <f>IF(AND($C26="Goal",AT$7&gt;=$D26,AT$7&lt;=$D26+$F26-1),2,IF(AND($C26="Milestone",AT$7&gt;=$D26,AT$7&lt;=$D26+$F26-1),1,""))</f>
        <v/>
      </c>
      <c r="AU26" s="11" t="str">
        <f>IF(AND($C26="Goal",AU$7&gt;=$D26,AU$7&lt;=$D26+$F26-1),2,IF(AND($C26="Milestone",AU$7&gt;=$D26,AU$7&lt;=$D26+$F26-1),1,""))</f>
        <v/>
      </c>
      <c r="AV26" s="11" t="str">
        <f>IF(AND($C26="Goal",AV$7&gt;=$D26,AV$7&lt;=$D26+$F26-1),2,IF(AND($C26="Milestone",AV$7&gt;=$D26,AV$7&lt;=$D26+$F26-1),1,""))</f>
        <v/>
      </c>
      <c r="AW26" s="11" t="str">
        <f>IF(AND($C26="Goal",AW$7&gt;=$D26,AW$7&lt;=$D26+$F26-1),2,IF(AND($C26="Milestone",AW$7&gt;=$D26,AW$7&lt;=$D26+$F26-1),1,""))</f>
        <v/>
      </c>
      <c r="AX26" s="11" t="str">
        <f>IF(AND($C26="Goal",AX$7&gt;=$D26,AX$7&lt;=$D26+$F26-1),2,IF(AND($C26="Milestone",AX$7&gt;=$D26,AX$7&lt;=$D26+$F26-1),1,""))</f>
        <v/>
      </c>
      <c r="AY26" s="11" t="str">
        <f>IF(AND($C26="Goal",AY$7&gt;=$D26,AY$7&lt;=$D26+$F26-1),2,IF(AND($C26="Milestone",AY$7&gt;=$D26,AY$7&lt;=$D26+$F26-1),1,""))</f>
        <v/>
      </c>
      <c r="AZ26" s="11" t="str">
        <f>IF(AND($C26="Goal",AZ$7&gt;=$D26,AZ$7&lt;=$D26+$F26-1),2,IF(AND($C26="Milestone",AZ$7&gt;=$D26,AZ$7&lt;=$D26+$F26-1),1,""))</f>
        <v/>
      </c>
      <c r="BA26" s="11" t="str">
        <f>IF(AND($C26="Goal",BA$7&gt;=$D26,BA$7&lt;=$D26+$F26-1),2,IF(AND($C26="Milestone",BA$7&gt;=$D26,BA$7&lt;=$D26+$F26-1),1,""))</f>
        <v/>
      </c>
      <c r="BB26" s="11" t="str">
        <f>IF(AND($C26="Goal",BB$7&gt;=$D26,BB$7&lt;=$D26+$F26-1),2,IF(AND($C26="Milestone",BB$7&gt;=$D26,BB$7&lt;=$D26+$F26-1),1,""))</f>
        <v/>
      </c>
      <c r="BC26" s="11" t="str">
        <f>IF(AND($C26="Goal",BC$7&gt;=$D26,BC$7&lt;=$D26+$F26-1),2,IF(AND($C26="Milestone",BC$7&gt;=$D26,BC$7&lt;=$D26+$F26-1),1,""))</f>
        <v/>
      </c>
      <c r="BD26" s="11" t="str">
        <f>IF(AND($C26="Goal",BD$7&gt;=$D26,BD$7&lt;=$D26+$F26-1),2,IF(AND($C26="Milestone",BD$7&gt;=$D26,BD$7&lt;=$D26+$F26-1),1,""))</f>
        <v/>
      </c>
      <c r="BE26" s="11" t="str">
        <f>IF(AND($C26="Goal",BE$7&gt;=$D26,BE$7&lt;=$D26+$F26-1),2,IF(AND($C26="Milestone",BE$7&gt;=$D26,BE$7&lt;=$D26+$F26-1),1,""))</f>
        <v/>
      </c>
      <c r="BF26" s="11" t="str">
        <f>IF(AND($C26="Goal",BF$7&gt;=$D26,BF$7&lt;=$D26+$F26-1),2,IF(AND($C26="Milestone",BF$7&gt;=$D26,BF$7&lt;=$D26+$F26-1),1,""))</f>
        <v/>
      </c>
      <c r="BG26" s="11" t="str">
        <f>IF(AND($C26="Goal",BG$7&gt;=$D26,BG$7&lt;=$D26+$F26-1),2,IF(AND($C26="Milestone",BG$7&gt;=$D26,BG$7&lt;=$D26+$F26-1),1,""))</f>
        <v/>
      </c>
      <c r="BH26" s="11" t="str">
        <f>IF(AND($C26="Goal",BH$7&gt;=$D26,BH$7&lt;=$D26+$F26-1),2,IF(AND($C26="Milestone",BH$7&gt;=$D26,BH$7&lt;=$D26+$F26-1),1,""))</f>
        <v/>
      </c>
      <c r="BI26" s="11" t="str">
        <f>IF(AND($C26="Goal",BI$7&gt;=$D26,BI$7&lt;=$D26+$F26-1),2,IF(AND($C26="Milestone",BI$7&gt;=$D26,BI$7&lt;=$D26+$F26-1),1,""))</f>
        <v/>
      </c>
      <c r="BJ26" s="11" t="str">
        <f>IF(AND($C26="Goal",BJ$7&gt;=$D26,BJ$7&lt;=$D26+$F26-1),2,IF(AND($C26="Milestone",BJ$7&gt;=$D26,BJ$7&lt;=$D26+$F26-1),1,""))</f>
        <v/>
      </c>
      <c r="BK26" s="11" t="str">
        <f>IF(AND($C26="Goal",BK$7&gt;=$D26,BK$7&lt;=$D26+$F26-1),2,IF(AND($C26="Milestone",BK$7&gt;=$D26,BK$7&lt;=$D26+$F26-1),1,""))</f>
        <v/>
      </c>
      <c r="BL26" s="11" t="str">
        <f>IF(AND($C26="Goal",BL$7&gt;=$D26,BL$7&lt;=$D26+$F26-1),2,IF(AND($C26="Milestone",BL$7&gt;=$D26,BL$7&lt;=$D26+$F26-1),1,""))</f>
        <v/>
      </c>
      <c r="BM26" s="11" t="str">
        <f>IF(AND($C26="Goal",BM$7&gt;=$D26,BM$7&lt;=$D26+$F26-1),2,IF(AND($C26="Milestone",BM$7&gt;=$D26,BM$7&lt;=$D26+$F26-1),1,""))</f>
        <v/>
      </c>
      <c r="BN26" s="11" t="str">
        <f>IF(AND($C26="Goal",BN$7&gt;=$D26,BN$7&lt;=$D26+$F26-1),2,IF(AND($C26="Milestone",BN$7&gt;=$D26,BN$7&lt;=$D26+$F26-1),1,""))</f>
        <v/>
      </c>
      <c r="BO26" s="11" t="str">
        <f>IF(AND($C26="Goal",BO$7&gt;=$D26,BO$7&lt;=$D26+$F26-1),2,IF(AND($C26="Milestone",BO$7&gt;=$D26,BO$7&lt;=$D26+$F26-1),1,""))</f>
        <v/>
      </c>
      <c r="BP26" s="11" t="str">
        <f>IF(AND($C26="Goal",BP$7&gt;=$D26,BP$7&lt;=$D26+$F26-1),2,IF(AND($C26="Milestone",BP$7&gt;=$D26,BP$7&lt;=$D26+$F26-1),1,""))</f>
        <v/>
      </c>
      <c r="BQ26" s="11" t="str">
        <f>IF(AND($C26="Goal",BQ$7&gt;=$D26,BQ$7&lt;=$D26+$F26-1),2,IF(AND($C26="Milestone",BQ$7&gt;=$D26,BQ$7&lt;=$D26+$F26-1),1,""))</f>
        <v/>
      </c>
      <c r="BR26" s="11" t="str">
        <f>IF(AND($C26="Goal",BR$7&gt;=$D26,BR$7&lt;=$D26+$F26-1),2,IF(AND($C26="Milestone",BR$7&gt;=$D26,BR$7&lt;=$D26+$F26-1),1,""))</f>
        <v/>
      </c>
      <c r="BS26" s="11" t="str">
        <f>IF(AND($C26="Goal",BS$7&gt;=$D26,BS$7&lt;=$D26+$F26-1),2,IF(AND($C26="Milestone",BS$7&gt;=$D26,BS$7&lt;=$D26+$F26-1),1,""))</f>
        <v/>
      </c>
      <c r="BT26" s="11" t="str">
        <f>IF(AND($C26="Goal",BT$7&gt;=$D26,BT$7&lt;=$D26+$F26-1),2,IF(AND($C26="Milestone",BT$7&gt;=$D26,BT$7&lt;=$D26+$F26-1),1,""))</f>
        <v/>
      </c>
      <c r="BU26" s="11" t="str">
        <f>IF(AND($C26="Goal",BU$7&gt;=$D26,BU$7&lt;=$D26+$F26-1),2,IF(AND($C26="Milestone",BU$7&gt;=$D26,BU$7&lt;=$D26+$F26-1),1,""))</f>
        <v/>
      </c>
      <c r="BV26" s="11" t="str">
        <f>IF(AND($C26="Goal",BV$7&gt;=$D26,BV$7&lt;=$D26+$F26-1),2,IF(AND($C26="Milestone",BV$7&gt;=$D26,BV$7&lt;=$D26+$F26-1),1,""))</f>
        <v/>
      </c>
      <c r="BW26" s="11" t="str">
        <f>IF(AND($C26="Goal",BW$7&gt;=$D26,BW$7&lt;=$D26+$F26-1),2,IF(AND($C26="Milestone",BW$7&gt;=$D26,BW$7&lt;=$D26+$F26-1),1,""))</f>
        <v/>
      </c>
      <c r="BX26" s="11" t="str">
        <f>IF(AND($C26="Goal",BX$7&gt;=$D26,BX$7&lt;=$D26+$F26-1),2,IF(AND($C26="Milestone",BX$7&gt;=$D26,BX$7&lt;=$D26+$F26-1),1,""))</f>
        <v/>
      </c>
      <c r="BY26" s="11" t="str">
        <f>IF(AND($C26="Goal",BY$7&gt;=$D26,BY$7&lt;=$D26+$F26-1),2,IF(AND($C26="Milestone",BY$7&gt;=$D26,BY$7&lt;=$D26+$F26-1),1,""))</f>
        <v/>
      </c>
      <c r="BZ26" s="11" t="str">
        <f>IF(AND($C26="Goal",BZ$7&gt;=$D26,BZ$7&lt;=$D26+$F26-1),2,IF(AND($C26="Milestone",BZ$7&gt;=$D26,BZ$7&lt;=$D26+$F26-1),1,""))</f>
        <v/>
      </c>
      <c r="CA26" s="11" t="str">
        <f>IF(AND($C26="Goal",CA$7&gt;=$D26,CA$7&lt;=$D26+$F26-1),2,IF(AND($C26="Milestone",CA$7&gt;=$D26,CA$7&lt;=$D26+$F26-1),1,""))</f>
        <v/>
      </c>
      <c r="CB26" s="11" t="str">
        <f>IF(AND($C26="Goal",CB$7&gt;=$D26,CB$7&lt;=$D26+$F26-1),2,IF(AND($C26="Milestone",CB$7&gt;=$D26,CB$7&lt;=$D26+$F26-1),1,""))</f>
        <v/>
      </c>
      <c r="CC26" s="11" t="str">
        <f>IF(AND($C26="Goal",CC$7&gt;=$D26,CC$7&lt;=$D26+$F26-1),2,IF(AND($C26="Milestone",CC$7&gt;=$D26,CC$7&lt;=$D26+$F26-1),1,""))</f>
        <v/>
      </c>
      <c r="CD26" s="11" t="str">
        <f>IF(AND($C26="Goal",CD$7&gt;=$D26,CD$7&lt;=$D26+$F26-1),2,IF(AND($C26="Milestone",CD$7&gt;=$D26,CD$7&lt;=$D26+$F26-1),1,""))</f>
        <v/>
      </c>
      <c r="CE26" s="11" t="str">
        <f>IF(AND($C26="Goal",CE$7&gt;=$D26,CE$7&lt;=$D26+$F26-1),2,IF(AND($C26="Milestone",CE$7&gt;=$D26,CE$7&lt;=$D26+$F26-1),1,""))</f>
        <v/>
      </c>
      <c r="CF26" s="11" t="str">
        <f>IF(AND($C26="Goal",CF$7&gt;=$D26,CF$7&lt;=$D26+$F26-1),2,IF(AND($C26="Milestone",CF$7&gt;=$D26,CF$7&lt;=$D26+$F26-1),1,""))</f>
        <v/>
      </c>
      <c r="CG26" s="11" t="str">
        <f>IF(AND($C26="Goal",CG$7&gt;=$D26,CG$7&lt;=$D26+$F26-1),2,IF(AND($C26="Milestone",CG$7&gt;=$D26,CG$7&lt;=$D26+$F26-1),1,""))</f>
        <v/>
      </c>
      <c r="CH26" s="11" t="str">
        <f>IF(AND($C26="Goal",CH$7&gt;=$D26,CH$7&lt;=$D26+$F26-1),2,IF(AND($C26="Milestone",CH$7&gt;=$D26,CH$7&lt;=$D26+$F26-1),1,""))</f>
        <v/>
      </c>
      <c r="CI26" s="11" t="str">
        <f>IF(AND($C26="Goal",CI$7&gt;=$D26,CI$7&lt;=$D26+$F26-1),2,IF(AND($C26="Milestone",CI$7&gt;=$D26,CI$7&lt;=$D26+$F26-1),1,""))</f>
        <v/>
      </c>
      <c r="CJ26" s="11" t="str">
        <f>IF(AND($C26="Goal",CJ$7&gt;=$D26,CJ$7&lt;=$D26+$F26-1),2,IF(AND($C26="Milestone",CJ$7&gt;=$D26,CJ$7&lt;=$D26+$F26-1),1,""))</f>
        <v/>
      </c>
      <c r="CK26" s="11" t="str">
        <f>IF(AND($C26="Goal",CK$7&gt;=$D26,CK$7&lt;=$D26+$F26-1),2,IF(AND($C26="Milestone",CK$7&gt;=$D26,CK$7&lt;=$D26+$F26-1),1,""))</f>
        <v/>
      </c>
      <c r="CL26" s="11" t="str">
        <f>IF(AND($C26="Goal",CL$7&gt;=$D26,CL$7&lt;=$D26+$F26-1),2,IF(AND($C26="Milestone",CL$7&gt;=$D26,CL$7&lt;=$D26+$F26-1),1,""))</f>
        <v/>
      </c>
      <c r="CM26" s="11" t="str">
        <f>IF(AND($C26="Goal",CM$7&gt;=$D26,CM$7&lt;=$D26+$F26-1),2,IF(AND($C26="Milestone",CM$7&gt;=$D26,CM$7&lt;=$D26+$F26-1),1,""))</f>
        <v/>
      </c>
      <c r="CN26" s="11" t="str">
        <f>IF(AND($C26="Goal",CN$7&gt;=$D26,CN$7&lt;=$D26+$F26-1),2,IF(AND($C26="Milestone",CN$7&gt;=$D26,CN$7&lt;=$D26+$F26-1),1,""))</f>
        <v/>
      </c>
      <c r="CO26" s="11" t="str">
        <f>IF(AND($C26="Goal",CO$7&gt;=$D26,CO$7&lt;=$D26+$F26-1),2,IF(AND($C26="Milestone",CO$7&gt;=$D26,CO$7&lt;=$D26+$F26-1),1,""))</f>
        <v/>
      </c>
      <c r="CP26" s="11" t="str">
        <f>IF(AND($C26="Goal",CP$7&gt;=$D26,CP$7&lt;=$D26+$F26-1),2,IF(AND($C26="Milestone",CP$7&gt;=$D26,CP$7&lt;=$D26+$F26-1),1,""))</f>
        <v/>
      </c>
      <c r="CQ26" s="11" t="str">
        <f>IF(AND($C26="Goal",CQ$7&gt;=$D26,CQ$7&lt;=$D26+$F26-1),2,IF(AND($C26="Milestone",CQ$7&gt;=$D26,CQ$7&lt;=$D26+$F26-1),1,""))</f>
        <v/>
      </c>
      <c r="CR26" s="11" t="str">
        <f>IF(AND($C26="Goal",CR$7&gt;=$D26,CR$7&lt;=$D26+$F26-1),2,IF(AND($C26="Milestone",CR$7&gt;=$D26,CR$7&lt;=$D26+$F26-1),1,""))</f>
        <v/>
      </c>
      <c r="CS26" s="11" t="str">
        <f>IF(AND($C26="Goal",CS$7&gt;=$D26,CS$7&lt;=$D26+$F26-1),2,IF(AND($C26="Milestone",CS$7&gt;=$D26,CS$7&lt;=$D26+$F26-1),1,""))</f>
        <v/>
      </c>
      <c r="CT26" s="11" t="str">
        <f>IF(AND($C26="Goal",CT$7&gt;=$D26,CT$7&lt;=$D26+$F26-1),2,IF(AND($C26="Milestone",CT$7&gt;=$D26,CT$7&lt;=$D26+$F26-1),1,""))</f>
        <v/>
      </c>
      <c r="CU26" s="11" t="str">
        <f>IF(AND($C26="Goal",CU$7&gt;=$D26,CU$7&lt;=$D26+$F26-1),2,IF(AND($C26="Milestone",CU$7&gt;=$D26,CU$7&lt;=$D26+$F26-1),1,""))</f>
        <v/>
      </c>
      <c r="CV26" s="11" t="str">
        <f>IF(AND($C26="Goal",CV$7&gt;=$D26,CV$7&lt;=$D26+$F26-1),2,IF(AND($C26="Milestone",CV$7&gt;=$D26,CV$7&lt;=$D26+$F26-1),1,""))</f>
        <v/>
      </c>
      <c r="CW26" s="11" t="str">
        <f>IF(AND($C26="Goal",CW$7&gt;=$D26,CW$7&lt;=$D26+$F26-1),2,IF(AND($C26="Milestone",CW$7&gt;=$D26,CW$7&lt;=$D26+$F26-1),1,""))</f>
        <v/>
      </c>
      <c r="CX26" s="11" t="str">
        <f>IF(AND($C26="Goal",CX$7&gt;=$D26,CX$7&lt;=$D26+$F26-1),2,IF(AND($C26="Milestone",CX$7&gt;=$D26,CX$7&lt;=$D26+$F26-1),1,""))</f>
        <v/>
      </c>
      <c r="CY26" s="11" t="str">
        <f>IF(AND($C26="Goal",CY$7&gt;=$D26,CY$7&lt;=$D26+$F26-1),2,IF(AND($C26="Milestone",CY$7&gt;=$D26,CY$7&lt;=$D26+$F26-1),1,""))</f>
        <v/>
      </c>
      <c r="CZ26" s="11" t="str">
        <f>IF(AND($C26="Goal",CZ$7&gt;=$D26,CZ$7&lt;=$D26+$F26-1),2,IF(AND($C26="Milestone",CZ$7&gt;=$D26,CZ$7&lt;=$D26+$F26-1),1,""))</f>
        <v/>
      </c>
      <c r="DA26" s="11" t="str">
        <f>IF(AND($C26="Goal",DA$7&gt;=$D26,DA$7&lt;=$D26+$F26-1),2,IF(AND($C26="Milestone",DA$7&gt;=$D26,DA$7&lt;=$D26+$F26-1),1,""))</f>
        <v/>
      </c>
      <c r="DB26" s="11" t="str">
        <f>IF(AND($C26="Goal",DB$7&gt;=$D26,DB$7&lt;=$D26+$F26-1),2,IF(AND($C26="Milestone",DB$7&gt;=$D26,DB$7&lt;=$D26+$F26-1),1,""))</f>
        <v/>
      </c>
      <c r="DC26" s="11" t="str">
        <f>IF(AND($C26="Goal",DC$7&gt;=$D26,DC$7&lt;=$D26+$F26-1),2,IF(AND($C26="Milestone",DC$7&gt;=$D26,DC$7&lt;=$D26+$F26-1),1,""))</f>
        <v/>
      </c>
      <c r="DD26" s="11" t="str">
        <f>IF(AND($C26="Goal",DD$7&gt;=$D26,DD$7&lt;=$D26+$F26-1),2,IF(AND($C26="Milestone",DD$7&gt;=$D26,DD$7&lt;=$D26+$F26-1),1,""))</f>
        <v/>
      </c>
      <c r="DE26" s="11" t="str">
        <f>IF(AND($C26="Goal",DE$7&gt;=$D26,DE$7&lt;=$D26+$F26-1),2,IF(AND($C26="Milestone",DE$7&gt;=$D26,DE$7&lt;=$D26+$F26-1),1,""))</f>
        <v/>
      </c>
      <c r="DF26" s="11" t="str">
        <f>IF(AND($C26="Goal",DF$7&gt;=$D26,DF$7&lt;=$D26+$F26-1),2,IF(AND($C26="Milestone",DF$7&gt;=$D26,DF$7&lt;=$D26+$F26-1),1,""))</f>
        <v/>
      </c>
    </row>
    <row r="27" spans="1:110" ht="30" customHeight="1" x14ac:dyDescent="0.35">
      <c r="F27" s="6"/>
      <c r="G27" s="3"/>
    </row>
  </sheetData>
  <mergeCells count="8">
    <mergeCell ref="W4:Z4"/>
    <mergeCell ref="AB4:AE4"/>
    <mergeCell ref="B2:G2"/>
    <mergeCell ref="H2:M2"/>
    <mergeCell ref="N2:S2"/>
    <mergeCell ref="H4:K4"/>
    <mergeCell ref="M4:P4"/>
    <mergeCell ref="R4:U4"/>
  </mergeCells>
  <phoneticPr fontId="20" type="noConversion"/>
  <conditionalFormatting sqref="H6:AL6">
    <cfRule type="expression" dxfId="28" priority="19">
      <formula>H$7&lt;=EOMONTH($H$7,0)</formula>
    </cfRule>
  </conditionalFormatting>
  <conditionalFormatting sqref="H24:DF24 H26:DF26">
    <cfRule type="expression" dxfId="27" priority="292" stopIfTrue="1">
      <formula>AND(#REF!="Low Risk",H$7&gt;=#REF!,H$7&lt;=#REF!+#REF!-1)</formula>
    </cfRule>
    <cfRule type="expression" dxfId="26" priority="293" stopIfTrue="1">
      <formula>AND(#REF!="High Risk",H$7&gt;=#REF!,H$7&lt;=#REF!+#REF!-1)</formula>
    </cfRule>
    <cfRule type="expression" dxfId="25" priority="294" stopIfTrue="1">
      <formula>AND(#REF!="On Track",H$7&gt;=#REF!,H$7&lt;=#REF!+#REF!-1)</formula>
    </cfRule>
    <cfRule type="expression" dxfId="24" priority="295" stopIfTrue="1">
      <formula>AND(#REF!="Med Risk",H$7&gt;=#REF!,H$7&lt;=#REF!+#REF!-1)</formula>
    </cfRule>
    <cfRule type="expression" dxfId="23" priority="296" stopIfTrue="1">
      <formula>AND(LEN(#REF!)=0,H$7&gt;=#REF!,H$7&lt;=#REF!+#REF!-1)</formula>
    </cfRule>
  </conditionalFormatting>
  <conditionalFormatting sqref="I6:BT6 CZ6:DF6">
    <cfRule type="expression" dxfId="22" priority="18">
      <formula>AND(I$7&lt;=EOMONTH($H$7,2),I$7&gt;EOMONTH($H$7,0),I$7&gt;EOMONTH($H$7,1))</formula>
    </cfRule>
  </conditionalFormatting>
  <conditionalFormatting sqref="CZ6:DF6 H6:BT6">
    <cfRule type="expression" dxfId="21" priority="17">
      <formula>AND(H$7&lt;=EOMONTH($H$7,1),H$7&gt;EOMONTH($H$7,0))</formula>
    </cfRule>
  </conditionalFormatting>
  <conditionalFormatting sqref="CZ6:DF6">
    <cfRule type="expression" dxfId="20" priority="13">
      <formula>CZ$7&lt;=EOMONTH($H$7,0)</formula>
    </cfRule>
  </conditionalFormatting>
  <conditionalFormatting sqref="H10:DF26">
    <cfRule type="expression" dxfId="19" priority="324" stopIfTrue="1">
      <formula>AND($C10="Low Risk",H$7&gt;=$D10,H$7&lt;=$D10+$F10-1)</formula>
    </cfRule>
    <cfRule type="expression" dxfId="18" priority="325" stopIfTrue="1">
      <formula>AND($C10="High Risk",H$7&gt;=$D10,H$7&lt;=$D10+$F10-1)</formula>
    </cfRule>
    <cfRule type="expression" dxfId="17" priority="326" stopIfTrue="1">
      <formula>AND($C10="On Track",H$7&gt;=$D10,H$7&lt;=$D10+$F10-1)</formula>
    </cfRule>
    <cfRule type="expression" dxfId="16" priority="327" stopIfTrue="1">
      <formula>AND($C10="Med Risk",H$7&gt;=$D10,H$7&lt;=$D10+$F10-1)</formula>
    </cfRule>
    <cfRule type="expression" dxfId="15" priority="328" stopIfTrue="1">
      <formula>AND(LEN($C10)=0,H$7&gt;=$D10,H$7&lt;=$D10+$F10-1)</formula>
    </cfRule>
  </conditionalFormatting>
  <conditionalFormatting sqref="H21:DF23 H25:DF25">
    <cfRule type="expression" dxfId="14" priority="329" stopIfTrue="1">
      <formula>AND($C21="Low Risk",H$7&gt;=$D21,H$7&lt;=$D21+$F21-1)</formula>
    </cfRule>
    <cfRule type="expression" dxfId="13" priority="330" stopIfTrue="1">
      <formula>AND($C21="High Risk",H$7&gt;=$D21,H$7&lt;=$D21+$F21-1)</formula>
    </cfRule>
    <cfRule type="expression" dxfId="12" priority="331" stopIfTrue="1">
      <formula>AND($C21="On Track",H$7&gt;=$D21,H$7&lt;=$D21+$F21-1)</formula>
    </cfRule>
    <cfRule type="expression" dxfId="11" priority="332" stopIfTrue="1">
      <formula>AND($C21="Med Risk",H$7&gt;=$D21,H$7&lt;=$D21+$F21-1)</formula>
    </cfRule>
    <cfRule type="expression" dxfId="10" priority="333" stopIfTrue="1">
      <formula>AND(LEN($C21)=0,H$7&gt;=$D21,H$7&lt;=$D21+$F21-1)</formula>
    </cfRule>
  </conditionalFormatting>
  <conditionalFormatting sqref="H23:DF23">
    <cfRule type="expression" dxfId="9" priority="340" stopIfTrue="1">
      <formula>AND($C24="Low Risk",H$7&gt;=$D24,H$7&lt;=$D24+$F24-1)</formula>
    </cfRule>
    <cfRule type="expression" dxfId="8" priority="341" stopIfTrue="1">
      <formula>AND($C24="High Risk",H$7&gt;=$D24,H$7&lt;=$D24+$F24-1)</formula>
    </cfRule>
    <cfRule type="expression" dxfId="7" priority="342" stopIfTrue="1">
      <formula>AND($C24="On Track",H$7&gt;=$D24,H$7&lt;=$D24+$F24-1)</formula>
    </cfRule>
    <cfRule type="expression" dxfId="6" priority="343" stopIfTrue="1">
      <formula>AND($C24="Med Risk",H$7&gt;=$D24,H$7&lt;=$D24+$F24-1)</formula>
    </cfRule>
    <cfRule type="expression" dxfId="5" priority="344" stopIfTrue="1">
      <formula>AND(LEN($C24)=0,H$7&gt;=$D24,H$7&lt;=$D24+$F24-1)</formula>
    </cfRule>
  </conditionalFormatting>
  <dataValidations count="11">
    <dataValidation type="whole" operator="greaterThanOrEqual" allowBlank="1" showInputMessage="1" promptTitle="Scrolling Increment" prompt="Changing this number will scroll the Gantt Chart view." sqref="C7" xr:uid="{662A47A0-7258-440E-8D71-BC54CBC9C651}">
      <formula1>0</formula1>
    </dataValidation>
    <dataValidation type="list" allowBlank="1" showInputMessage="1" showErrorMessage="1" sqref="C10 C12:C26" xr:uid="{12A8278F-D51D-4B98-A311-DB5FCD18D214}">
      <formula1>"Goal,Milestone,On Track, Low Risk, Med Risk, High Risk"</formula1>
    </dataValidation>
    <dataValidation type="list" allowBlank="1" showInputMessage="1" sqref="C11" xr:uid="{218D9212-09C8-4DA2-9014-64503951B170}">
      <formula1>"Goal,Milestone,On Track, Low Risk, Med Risk, High Risk"</formula1>
    </dataValidation>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E4602294-DCCD-4B4D-A916-B5520C80CF80}"/>
    <dataValidation allowBlank="1" showInputMessage="1" showErrorMessage="1" prompt="Enter Company Name in cell B4._x000a_A legend is in cells I4 through AC4.  The Legend label is in cell G4." sqref="A4" xr:uid="{162198D7-BB96-453A-BB1C-71A472FB68F5}"/>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9BBE640D-6E85-4D9D-AF8E-654ECD5CE97D}"/>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D018285A-B1BB-4604-A67E-E25F048BC864}"/>
    <dataValidation allowBlank="1" showInputMessage="1" showErrorMessage="1" prompt="Cells I9 through BL9 contain the day number of the month for the Month represented in the cell block above each date cell and are auto calculated._x000a_Do not modify these cells._x000a_" sqref="A7" xr:uid="{1544BB7A-7F3E-469D-9CB6-4B9BACED7ACE}"/>
    <dataValidation allowBlank="1" showInputMessage="1" showErrorMessage="1" prompt="A scrollbar is in cells I8 through BL8. _x000a_To jump forward or backward in the timeline, enter a value of 0 or higher in cell C7._x000a_A value of 0 takes you to the beginning of the chart." sqref="A8" xr:uid="{737D7247-B514-41B2-94CC-2F538E17DE66}"/>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6AB925DC-9BC9-4EC3-A848-25121289EEC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77315CCB-C571-42B0-8983-9C17BB04F75F}"/>
  </dataValidations>
  <printOptions horizontalCentered="1"/>
  <pageMargins left="0.25" right="0.25" top="0.5" bottom="0.5" header="0.3" footer="0.3"/>
  <pageSetup scale="27" fitToHeight="0" orientation="landscape" r:id="rId1"/>
  <headerFooter differentFirst="1" scaleWithDoc="0">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iconSet" priority="291"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H24:DF24 H26:DF26</xm:sqref>
        </x14:conditionalFormatting>
        <x14:conditionalFormatting xmlns:xm="http://schemas.microsoft.com/office/excel/2006/main">
          <x14:cfRule type="iconSet" priority="299"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H25:DF25 H21:DF23</xm:sqref>
        </x14:conditionalFormatting>
        <x14:conditionalFormatting xmlns:xm="http://schemas.microsoft.com/office/excel/2006/main">
          <x14:cfRule type="iconSet" priority="323"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H10:DF26</xm:sqref>
        </x14:conditionalFormatting>
        <x14:conditionalFormatting xmlns:xm="http://schemas.microsoft.com/office/excel/2006/main">
          <x14:cfRule type="iconSet" priority="339"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H23:DF23</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Background xmlns="71af3243-3dd4-4a8d-8c0d-dd76da1f02a5">false</Background>
    <Status xmlns="71af3243-3dd4-4a8d-8c0d-dd76da1f02a5">Not started</Status>
    <_ip_UnifiedCompliancePolicyUIAction xmlns="http://schemas.microsoft.com/sharepoint/v3" xsi:nil="true"/>
    <Image xmlns="71af3243-3dd4-4a8d-8c0d-dd76da1f02a5">
      <Url xsi:nil="true"/>
      <Description xsi:nil="true"/>
    </Image>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A9C5315E-9A69-4EEB-ACCD-0F886FBF12FB}">
  <ds:schemaRefs>
    <ds:schemaRef ds:uri="http://schemas.microsoft.com/sharepoint/v3/contenttype/forms"/>
  </ds:schemaRefs>
</ds:datastoreItem>
</file>

<file path=customXml/itemProps2.xml><?xml version="1.0" encoding="utf-8"?>
<ds:datastoreItem xmlns:ds="http://schemas.openxmlformats.org/officeDocument/2006/customXml" ds:itemID="{CF181E67-B5A5-4E32-9D0A-4494603D7B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1AAADB5-F91F-44CE-8CB6-D8472D59D975}">
  <ds:schemaRefs>
    <ds:schemaRef ds:uri="http://purl.org/dc/terms/"/>
    <ds:schemaRef ds:uri="http://schemas.microsoft.com/office/2006/documentManagement/types"/>
    <ds:schemaRef ds:uri="http://schemas.microsoft.com/office/infopath/2007/PartnerControls"/>
    <ds:schemaRef ds:uri="http://schemas.microsoft.com/office/2006/metadata/properties"/>
    <ds:schemaRef ds:uri="http://schemas.openxmlformats.org/package/2006/metadata/core-properties"/>
    <ds:schemaRef ds:uri="http://purl.org/dc/dcmitype/"/>
    <ds:schemaRef ds:uri="http://www.w3.org/XML/1998/namespace"/>
    <ds:schemaRef ds:uri="http://purl.org/dc/elements/1.1/"/>
    <ds:schemaRef ds:uri="16c05727-aa75-4e4a-9b5f-8a80a1165891"/>
    <ds:schemaRef ds:uri="230e9df3-be65-4c73-a93b-d1236ebd677e"/>
    <ds:schemaRef ds:uri="71af3243-3dd4-4a8d-8c0d-dd76da1f02a5"/>
    <ds:schemaRef ds:uri="http://schemas.microsoft.com/sharepoint/v3"/>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TM55723235</Template>
  <Application>Microsoft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Diagrama</vt:lpstr>
      <vt:lpstr>Diagrama!Print_Titles</vt:lpstr>
      <vt:lpstr>Diagrama!Project_Start</vt:lpstr>
      <vt:lpstr>Diagrama!Scrolling_Increment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2023-01-31T06:47:08Z</dcterms:created>
  <dcterms:modified xsi:type="dcterms:W3CDTF">2025-11-18T21:41:43Z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