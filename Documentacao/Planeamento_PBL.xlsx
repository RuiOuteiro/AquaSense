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codeName="ThisWorkbook"/>
  <xr:revisionPtr revIDLastSave="44" documentId="13_ncr:1_{8C1747EC-EC20-4276-B73C-119DA1D3E969}" xr6:coauthVersionLast="47" xr6:coauthVersionMax="47" xr10:uidLastSave="{07652F77-B7DD-49B4-B8CB-DE43BECC0945}"/>
  <bookViews>
    <workbookView xWindow="3800" yWindow="3800" windowWidth="28780" windowHeight="15230" tabRatio="415" xr2:uid="{00000000-000D-0000-FFFF-FFFF00000000}"/>
  </bookViews>
  <sheets>
    <sheet name="Diagrama" sheetId="17" r:id="rId1"/>
  </sheets>
  <definedNames>
    <definedName name="_xlnm.Print_Titles" localSheetId="0">Diagrama!$6:$9</definedName>
    <definedName name="Project_Start" localSheetId="0">Diagrama!$C$6</definedName>
    <definedName name="Project_Start">#REF!</definedName>
    <definedName name="Scrolling_Increment" localSheetId="0">Diagrama!$C$7</definedName>
    <definedName name="Scrolling_Increment">#REF!</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17" l="1"/>
  <c r="D26" i="17"/>
  <c r="E10" i="17"/>
  <c r="E11" i="17"/>
  <c r="E12" i="17"/>
  <c r="E14" i="17"/>
  <c r="E15" i="17"/>
  <c r="E18" i="17"/>
  <c r="E19" i="17"/>
  <c r="E21" i="17"/>
  <c r="E22" i="17"/>
  <c r="E23" i="17"/>
  <c r="E24" i="17"/>
  <c r="E25" i="17"/>
  <c r="D17" i="17"/>
  <c r="E17" i="17" s="1"/>
  <c r="D16" i="17"/>
  <c r="E16" i="17" s="1"/>
  <c r="D13" i="17"/>
  <c r="E13" i="17" s="1"/>
  <c r="H7" i="17"/>
  <c r="H22" i="17" s="1"/>
  <c r="H23" i="17" l="1"/>
  <c r="H26" i="17"/>
  <c r="H25" i="17"/>
  <c r="H24" i="17"/>
  <c r="H12" i="17"/>
  <c r="H19" i="17"/>
  <c r="H16" i="17"/>
  <c r="H20" i="17"/>
  <c r="H17" i="17"/>
  <c r="H14" i="17"/>
  <c r="H21" i="17"/>
  <c r="H18" i="17"/>
  <c r="H13" i="17"/>
  <c r="H15" i="17"/>
  <c r="E26" i="17"/>
  <c r="I7" i="17" l="1"/>
  <c r="I23" i="17" s="1"/>
  <c r="H9" i="17"/>
  <c r="H11" i="17"/>
  <c r="H6" i="17"/>
  <c r="I24" i="17" l="1"/>
  <c r="I26" i="17"/>
  <c r="I25" i="17"/>
  <c r="I22" i="17"/>
  <c r="I12" i="17"/>
  <c r="I19" i="17"/>
  <c r="I16" i="17"/>
  <c r="I13" i="17"/>
  <c r="I17" i="17"/>
  <c r="I14" i="17"/>
  <c r="I21" i="17"/>
  <c r="I15" i="17"/>
  <c r="I20" i="17"/>
  <c r="I18" i="17"/>
  <c r="J7" i="17"/>
  <c r="J23" i="17" s="1"/>
  <c r="I9" i="17"/>
  <c r="I11" i="17"/>
  <c r="J24" i="17" l="1"/>
  <c r="J25" i="17"/>
  <c r="J26" i="17"/>
  <c r="J15" i="17"/>
  <c r="J22" i="17"/>
  <c r="J12" i="17"/>
  <c r="J19" i="17"/>
  <c r="J13" i="17"/>
  <c r="J20" i="17"/>
  <c r="J17" i="17"/>
  <c r="J14" i="17"/>
  <c r="J21" i="17"/>
  <c r="J16" i="17"/>
  <c r="J18" i="17"/>
  <c r="J9" i="17"/>
  <c r="J11" i="17"/>
  <c r="K7" i="17"/>
  <c r="K23" i="17" s="1"/>
  <c r="K25" i="17" l="1"/>
  <c r="K24" i="17"/>
  <c r="K26" i="17"/>
  <c r="K15" i="17"/>
  <c r="K22" i="17"/>
  <c r="K12" i="17"/>
  <c r="K19" i="17"/>
  <c r="K13" i="17"/>
  <c r="K20" i="17"/>
  <c r="K17" i="17"/>
  <c r="K14" i="17"/>
  <c r="K21" i="17"/>
  <c r="K16" i="17"/>
  <c r="K18" i="17"/>
  <c r="L7" i="17"/>
  <c r="L23" i="17" s="1"/>
  <c r="K9" i="17"/>
  <c r="K11" i="17"/>
  <c r="L24" i="17" l="1"/>
  <c r="L25" i="17"/>
  <c r="L26" i="17"/>
  <c r="L19" i="17"/>
  <c r="L15" i="17"/>
  <c r="L22" i="17"/>
  <c r="L12" i="17"/>
  <c r="L16" i="17"/>
  <c r="L13" i="17"/>
  <c r="L20" i="17"/>
  <c r="L17" i="17"/>
  <c r="L14" i="17"/>
  <c r="L21" i="17"/>
  <c r="L18" i="17"/>
  <c r="L9" i="17"/>
  <c r="M7" i="17"/>
  <c r="M23" i="17" s="1"/>
  <c r="L11" i="17"/>
  <c r="M24" i="17" l="1"/>
  <c r="M25" i="17"/>
  <c r="M26" i="17"/>
  <c r="M18" i="17"/>
  <c r="M15" i="17"/>
  <c r="M22" i="17"/>
  <c r="M12" i="17"/>
  <c r="M16" i="17"/>
  <c r="M13" i="17"/>
  <c r="M20" i="17"/>
  <c r="M17" i="17"/>
  <c r="M14" i="17"/>
  <c r="M21" i="17"/>
  <c r="M19" i="17"/>
  <c r="M11" i="17"/>
  <c r="N7" i="17"/>
  <c r="N23" i="17" s="1"/>
  <c r="M9" i="17"/>
  <c r="N24" i="17" l="1"/>
  <c r="N26" i="17"/>
  <c r="N25" i="17"/>
  <c r="N18" i="17"/>
  <c r="N15" i="17"/>
  <c r="N22" i="17"/>
  <c r="N16" i="17"/>
  <c r="N13" i="17"/>
  <c r="N20" i="17"/>
  <c r="N17" i="17"/>
  <c r="N12" i="17"/>
  <c r="N14" i="17"/>
  <c r="N21" i="17"/>
  <c r="N19" i="17"/>
  <c r="N9" i="17"/>
  <c r="N11" i="17"/>
  <c r="O7" i="17"/>
  <c r="O23" i="17" s="1"/>
  <c r="O24" i="17" l="1"/>
  <c r="O25" i="17"/>
  <c r="O26" i="17"/>
  <c r="O18" i="17"/>
  <c r="O22" i="17"/>
  <c r="O15" i="17"/>
  <c r="O19" i="17"/>
  <c r="O16" i="17"/>
  <c r="O13" i="17"/>
  <c r="O20" i="17"/>
  <c r="O17" i="17"/>
  <c r="O12" i="17"/>
  <c r="O14" i="17"/>
  <c r="O21" i="17"/>
  <c r="O6" i="17"/>
  <c r="O9" i="17"/>
  <c r="O11" i="17"/>
  <c r="P7" i="17"/>
  <c r="P23" i="17" s="1"/>
  <c r="P26" i="17" l="1"/>
  <c r="P24" i="17"/>
  <c r="P25" i="17"/>
  <c r="P21" i="17"/>
  <c r="P18" i="17"/>
  <c r="P15" i="17"/>
  <c r="P12" i="17"/>
  <c r="P16" i="17"/>
  <c r="P13" i="17"/>
  <c r="P20" i="17"/>
  <c r="P19" i="17"/>
  <c r="P14" i="17"/>
  <c r="P17" i="17"/>
  <c r="P22" i="17"/>
  <c r="P9" i="17"/>
  <c r="P11" i="17"/>
  <c r="Q7" i="17"/>
  <c r="Q23" i="17" s="1"/>
  <c r="Q24" i="17" l="1"/>
  <c r="Q26" i="17"/>
  <c r="Q25" i="17"/>
  <c r="Q14" i="17"/>
  <c r="Q21" i="17"/>
  <c r="Q18" i="17"/>
  <c r="Q12" i="17"/>
  <c r="Q19" i="17"/>
  <c r="Q16" i="17"/>
  <c r="Q13" i="17"/>
  <c r="Q20" i="17"/>
  <c r="Q15" i="17"/>
  <c r="Q17" i="17"/>
  <c r="Q22" i="17"/>
  <c r="R7" i="17"/>
  <c r="R23" i="17" s="1"/>
  <c r="Q11" i="17"/>
  <c r="Q9" i="17"/>
  <c r="R26" i="17" l="1"/>
  <c r="R25" i="17"/>
  <c r="R24" i="17"/>
  <c r="R14" i="17"/>
  <c r="R21" i="17"/>
  <c r="R18" i="17"/>
  <c r="R22" i="17"/>
  <c r="R12" i="17"/>
  <c r="R19" i="17"/>
  <c r="R16" i="17"/>
  <c r="R13" i="17"/>
  <c r="R20" i="17"/>
  <c r="R15" i="17"/>
  <c r="R17" i="17"/>
  <c r="S7" i="17"/>
  <c r="S23" i="17" s="1"/>
  <c r="R9" i="17"/>
  <c r="R11" i="17"/>
  <c r="S26" i="17" l="1"/>
  <c r="S24" i="17"/>
  <c r="S25" i="17"/>
  <c r="S18" i="17"/>
  <c r="S14" i="17"/>
  <c r="S21" i="17"/>
  <c r="S15" i="17"/>
  <c r="S12" i="17"/>
  <c r="S19" i="17"/>
  <c r="S16" i="17"/>
  <c r="S13" i="17"/>
  <c r="S20" i="17"/>
  <c r="S22" i="17"/>
  <c r="S17" i="17"/>
  <c r="T7" i="17"/>
  <c r="T23" i="17" s="1"/>
  <c r="S9" i="17"/>
  <c r="S11" i="17"/>
  <c r="T26" i="17" l="1"/>
  <c r="T24" i="17"/>
  <c r="T25" i="17"/>
  <c r="T17" i="17"/>
  <c r="T14" i="17"/>
  <c r="T21" i="17"/>
  <c r="T15" i="17"/>
  <c r="T22" i="17"/>
  <c r="T12" i="17"/>
  <c r="T19" i="17"/>
  <c r="T16" i="17"/>
  <c r="T20" i="17"/>
  <c r="T13" i="17"/>
  <c r="T18" i="17"/>
  <c r="T11" i="17"/>
  <c r="U7" i="17"/>
  <c r="U23" i="17" s="1"/>
  <c r="T9" i="17"/>
  <c r="U26" i="17" l="1"/>
  <c r="U24" i="17"/>
  <c r="U25" i="17"/>
  <c r="U17" i="17"/>
  <c r="U14" i="17"/>
  <c r="U21" i="17"/>
  <c r="U15" i="17"/>
  <c r="U22" i="17"/>
  <c r="U12" i="17"/>
  <c r="U19" i="17"/>
  <c r="U16" i="17"/>
  <c r="U13" i="17"/>
  <c r="U20" i="17"/>
  <c r="U18" i="17"/>
  <c r="U11" i="17"/>
  <c r="V7" i="17"/>
  <c r="V23" i="17" s="1"/>
  <c r="U9" i="17"/>
  <c r="V26" i="17" l="1"/>
  <c r="V25" i="17"/>
  <c r="V24" i="17"/>
  <c r="V17" i="17"/>
  <c r="V21" i="17"/>
  <c r="V14" i="17"/>
  <c r="V18" i="17"/>
  <c r="V15" i="17"/>
  <c r="V22" i="17"/>
  <c r="V12" i="17"/>
  <c r="V19" i="17"/>
  <c r="V16" i="17"/>
  <c r="V13" i="17"/>
  <c r="V20" i="17"/>
  <c r="W7" i="17"/>
  <c r="W23" i="17" s="1"/>
  <c r="V11" i="17"/>
  <c r="V6" i="17"/>
  <c r="V9" i="17"/>
  <c r="W25" i="17" l="1"/>
  <c r="W26" i="17"/>
  <c r="W24" i="17"/>
  <c r="W20" i="17"/>
  <c r="W14" i="17"/>
  <c r="W17" i="17"/>
  <c r="W15" i="17"/>
  <c r="W22" i="17"/>
  <c r="W12" i="17"/>
  <c r="W19" i="17"/>
  <c r="W13" i="17"/>
  <c r="W16" i="17"/>
  <c r="W21" i="17"/>
  <c r="W18" i="17"/>
  <c r="W11" i="17"/>
  <c r="X7" i="17"/>
  <c r="X23" i="17" s="1"/>
  <c r="W9" i="17"/>
  <c r="X26" i="17" l="1"/>
  <c r="X25" i="17"/>
  <c r="X24" i="17"/>
  <c r="X13" i="17"/>
  <c r="X20" i="17"/>
  <c r="X17" i="17"/>
  <c r="X18" i="17"/>
  <c r="X15" i="17"/>
  <c r="X22" i="17"/>
  <c r="X12" i="17"/>
  <c r="X19" i="17"/>
  <c r="X14" i="17"/>
  <c r="X16" i="17"/>
  <c r="X21" i="17"/>
  <c r="X9" i="17"/>
  <c r="X11" i="17"/>
  <c r="Y7" i="17"/>
  <c r="Y23" i="17" s="1"/>
  <c r="Y25" i="17" l="1"/>
  <c r="Y26" i="17"/>
  <c r="Y24" i="17"/>
  <c r="Y13" i="17"/>
  <c r="Y20" i="17"/>
  <c r="Y17" i="17"/>
  <c r="Y21" i="17"/>
  <c r="Y22" i="17"/>
  <c r="Y18" i="17"/>
  <c r="Y15" i="17"/>
  <c r="Y12" i="17"/>
  <c r="Y19" i="17"/>
  <c r="Y14" i="17"/>
  <c r="Y16" i="17"/>
  <c r="Y9" i="17"/>
  <c r="Y11" i="17"/>
  <c r="Z7" i="17"/>
  <c r="Z23" i="17" s="1"/>
  <c r="Z25" i="17" l="1"/>
  <c r="Z26" i="17"/>
  <c r="Z24" i="17"/>
  <c r="Z17" i="17"/>
  <c r="Z13" i="17"/>
  <c r="Z20" i="17"/>
  <c r="Z14" i="17"/>
  <c r="Z18" i="17"/>
  <c r="Z15" i="17"/>
  <c r="Z22" i="17"/>
  <c r="Z12" i="17"/>
  <c r="Z19" i="17"/>
  <c r="Z16" i="17"/>
  <c r="Z21" i="17"/>
  <c r="Z11" i="17"/>
  <c r="Z9" i="17"/>
  <c r="AA7" i="17"/>
  <c r="AA23" i="17" s="1"/>
  <c r="AA25" i="17" l="1"/>
  <c r="AA24" i="17"/>
  <c r="AA26" i="17"/>
  <c r="AA16" i="17"/>
  <c r="AA13" i="17"/>
  <c r="AA20" i="17"/>
  <c r="AA14" i="17"/>
  <c r="AA21" i="17"/>
  <c r="AA18" i="17"/>
  <c r="AA15" i="17"/>
  <c r="AA22" i="17"/>
  <c r="AA12" i="17"/>
  <c r="AA19" i="17"/>
  <c r="AA17" i="17"/>
  <c r="AA11" i="17"/>
  <c r="AB7" i="17"/>
  <c r="AB23" i="17" s="1"/>
  <c r="AA9" i="17"/>
  <c r="AB26" i="17" l="1"/>
  <c r="AB25" i="17"/>
  <c r="AB24" i="17"/>
  <c r="AB16" i="17"/>
  <c r="AB13" i="17"/>
  <c r="AB20" i="17"/>
  <c r="AB14" i="17"/>
  <c r="AB21" i="17"/>
  <c r="AB18" i="17"/>
  <c r="AB15" i="17"/>
  <c r="AB22" i="17"/>
  <c r="AB12" i="17"/>
  <c r="AB19" i="17"/>
  <c r="AB17" i="17"/>
  <c r="AC7" i="17"/>
  <c r="AC23" i="17" s="1"/>
  <c r="AB9" i="17"/>
  <c r="AB11" i="17"/>
  <c r="AC25" i="17" l="1"/>
  <c r="AC26" i="17"/>
  <c r="AC24" i="17"/>
  <c r="AC16" i="17"/>
  <c r="AC20" i="17"/>
  <c r="AC13" i="17"/>
  <c r="AC17" i="17"/>
  <c r="AC14" i="17"/>
  <c r="AC21" i="17"/>
  <c r="AC18" i="17"/>
  <c r="AC15" i="17"/>
  <c r="AC19" i="17"/>
  <c r="AC12" i="17"/>
  <c r="AC22" i="17"/>
  <c r="AC11" i="17"/>
  <c r="AC9" i="17"/>
  <c r="AC6" i="17"/>
  <c r="AD7" i="17"/>
  <c r="AD23" i="17" s="1"/>
  <c r="AD26" i="17" l="1"/>
  <c r="AD25" i="17"/>
  <c r="AD24" i="17"/>
  <c r="AD19" i="17"/>
  <c r="AD13" i="17"/>
  <c r="AD16" i="17"/>
  <c r="AD14" i="17"/>
  <c r="AD21" i="17"/>
  <c r="AD18" i="17"/>
  <c r="AD12" i="17"/>
  <c r="AD15" i="17"/>
  <c r="AD20" i="17"/>
  <c r="AD22" i="17"/>
  <c r="AD17" i="17"/>
  <c r="AD9" i="17"/>
  <c r="AD11" i="17"/>
  <c r="AE7" i="17"/>
  <c r="AE23" i="17" s="1"/>
  <c r="AE25" i="17" l="1"/>
  <c r="AE26" i="17"/>
  <c r="AE24" i="17"/>
  <c r="AE12" i="17"/>
  <c r="AE19" i="17"/>
  <c r="AE16" i="17"/>
  <c r="AE17" i="17"/>
  <c r="AE14" i="17"/>
  <c r="AE21" i="17"/>
  <c r="AE18" i="17"/>
  <c r="AE22" i="17"/>
  <c r="AE13" i="17"/>
  <c r="AE15" i="17"/>
  <c r="AE20" i="17"/>
  <c r="AF7" i="17"/>
  <c r="AF23" i="17" s="1"/>
  <c r="AE9" i="17"/>
  <c r="AE11" i="17"/>
  <c r="AF24" i="17" l="1"/>
  <c r="AF26" i="17"/>
  <c r="AF25" i="17"/>
  <c r="AF12" i="17"/>
  <c r="AF19" i="17"/>
  <c r="AF16" i="17"/>
  <c r="AF20" i="17"/>
  <c r="AF17" i="17"/>
  <c r="AF14" i="17"/>
  <c r="AF21" i="17"/>
  <c r="AF18" i="17"/>
  <c r="AF13" i="17"/>
  <c r="AF15" i="17"/>
  <c r="AF22" i="17"/>
  <c r="AG7" i="17"/>
  <c r="AG23" i="17" s="1"/>
  <c r="AF11" i="17"/>
  <c r="AF9" i="17"/>
  <c r="AG24" i="17" l="1"/>
  <c r="AG25" i="17"/>
  <c r="AG26" i="17"/>
  <c r="AG22" i="17"/>
  <c r="AG12" i="17"/>
  <c r="AG19" i="17"/>
  <c r="AG16" i="17"/>
  <c r="AG13" i="17"/>
  <c r="AG17" i="17"/>
  <c r="AG14" i="17"/>
  <c r="AG21" i="17"/>
  <c r="AG20" i="17"/>
  <c r="AG15" i="17"/>
  <c r="AG18" i="17"/>
  <c r="AH7" i="17"/>
  <c r="AH23" i="17" s="1"/>
  <c r="AG11" i="17"/>
  <c r="AG9" i="17"/>
  <c r="AH24" i="17" l="1"/>
  <c r="AH25" i="17"/>
  <c r="AH26" i="17"/>
  <c r="AH15" i="17"/>
  <c r="AH22" i="17"/>
  <c r="AH12" i="17"/>
  <c r="AH19" i="17"/>
  <c r="AH13" i="17"/>
  <c r="AH20" i="17"/>
  <c r="AH17" i="17"/>
  <c r="AH14" i="17"/>
  <c r="AH21" i="17"/>
  <c r="AH18" i="17"/>
  <c r="AH16" i="17"/>
  <c r="AI7" i="17"/>
  <c r="AI23" i="17" s="1"/>
  <c r="AH9" i="17"/>
  <c r="AH11" i="17"/>
  <c r="AI24" i="17" l="1"/>
  <c r="AI25" i="17"/>
  <c r="AI26" i="17"/>
  <c r="AI15" i="17"/>
  <c r="AI22" i="17"/>
  <c r="AI12" i="17"/>
  <c r="AI19" i="17"/>
  <c r="AI13" i="17"/>
  <c r="AI20" i="17"/>
  <c r="AI17" i="17"/>
  <c r="AI14" i="17"/>
  <c r="AI21" i="17"/>
  <c r="AI16" i="17"/>
  <c r="AI18" i="17"/>
  <c r="AJ7" i="17"/>
  <c r="AJ23" i="17" s="1"/>
  <c r="AI11" i="17"/>
  <c r="AI9" i="17"/>
  <c r="AJ24" i="17" l="1"/>
  <c r="AJ26" i="17"/>
  <c r="AJ25" i="17"/>
  <c r="AK7" i="17"/>
  <c r="AK23" i="17" s="1"/>
  <c r="AJ9" i="17"/>
  <c r="AJ11" i="17"/>
  <c r="AJ6" i="17"/>
  <c r="AJ15" i="17"/>
  <c r="AJ19" i="17"/>
  <c r="AJ22" i="17"/>
  <c r="AJ12" i="17"/>
  <c r="AJ16" i="17"/>
  <c r="AJ13" i="17"/>
  <c r="AJ20" i="17"/>
  <c r="AJ17" i="17"/>
  <c r="AJ14" i="17"/>
  <c r="AJ18" i="17"/>
  <c r="AJ21" i="17"/>
  <c r="AL7" i="17"/>
  <c r="AL23" i="17" s="1"/>
  <c r="AK11" i="17"/>
  <c r="AK9" i="17"/>
  <c r="AK26" i="17" l="1"/>
  <c r="AK24" i="17"/>
  <c r="AK25" i="17"/>
  <c r="AL26" i="17"/>
  <c r="AL24" i="17"/>
  <c r="AL25" i="17"/>
  <c r="AL18" i="17"/>
  <c r="AL15" i="17"/>
  <c r="AL22" i="17"/>
  <c r="AL16" i="17"/>
  <c r="AL13" i="17"/>
  <c r="AL20" i="17"/>
  <c r="AL17" i="17"/>
  <c r="AL19" i="17"/>
  <c r="AL12" i="17"/>
  <c r="AL14" i="17"/>
  <c r="AL21" i="17"/>
  <c r="AK18" i="17"/>
  <c r="AK15" i="17"/>
  <c r="AK22" i="17"/>
  <c r="AK16" i="17"/>
  <c r="AK13" i="17"/>
  <c r="AK20" i="17"/>
  <c r="AK17" i="17"/>
  <c r="AK19" i="17"/>
  <c r="AK12" i="17"/>
  <c r="AK14" i="17"/>
  <c r="AK21" i="17"/>
  <c r="AM7" i="17"/>
  <c r="AM23" i="17" s="1"/>
  <c r="AL11" i="17"/>
  <c r="AL9" i="17"/>
  <c r="AM25" i="17" l="1"/>
  <c r="AM24" i="17"/>
  <c r="AM26" i="17"/>
  <c r="AM18" i="17"/>
  <c r="AM22" i="17"/>
  <c r="AM15" i="17"/>
  <c r="AM19" i="17"/>
  <c r="AM16" i="17"/>
  <c r="AM13" i="17"/>
  <c r="AM20" i="17"/>
  <c r="AM17" i="17"/>
  <c r="AM12" i="17"/>
  <c r="AM14" i="17"/>
  <c r="AM21" i="17"/>
  <c r="AN7" i="17"/>
  <c r="AN23" i="17" s="1"/>
  <c r="AM11" i="17"/>
  <c r="AM9" i="17"/>
  <c r="AN24" i="17" l="1"/>
  <c r="AN25" i="17"/>
  <c r="AN26" i="17"/>
  <c r="AN21" i="17"/>
  <c r="AN18" i="17"/>
  <c r="AN15" i="17"/>
  <c r="AN12" i="17"/>
  <c r="AN16" i="17"/>
  <c r="AN13" i="17"/>
  <c r="AN20" i="17"/>
  <c r="AN22" i="17"/>
  <c r="AN19" i="17"/>
  <c r="AN17" i="17"/>
  <c r="AN14" i="17"/>
  <c r="AN11" i="17"/>
  <c r="AN9" i="17"/>
  <c r="AO7" i="17"/>
  <c r="AO23" i="17" s="1"/>
  <c r="AO26" i="17" l="1"/>
  <c r="AO24" i="17"/>
  <c r="AO25" i="17"/>
  <c r="AO14" i="17"/>
  <c r="AO21" i="17"/>
  <c r="AO18" i="17"/>
  <c r="AO12" i="17"/>
  <c r="AO19" i="17"/>
  <c r="AO16" i="17"/>
  <c r="AO13" i="17"/>
  <c r="AO20" i="17"/>
  <c r="AO22" i="17"/>
  <c r="AO15" i="17"/>
  <c r="AO17" i="17"/>
  <c r="AP7" i="17"/>
  <c r="AP23" i="17" s="1"/>
  <c r="AO11" i="17"/>
  <c r="AO9" i="17"/>
  <c r="AP26" i="17" l="1"/>
  <c r="AP24" i="17"/>
  <c r="AP25" i="17"/>
  <c r="AP14" i="17"/>
  <c r="AP21" i="17"/>
  <c r="AP18" i="17"/>
  <c r="AP22" i="17"/>
  <c r="AP12" i="17"/>
  <c r="AP19" i="17"/>
  <c r="AP16" i="17"/>
  <c r="AP13" i="17"/>
  <c r="AP20" i="17"/>
  <c r="AP15" i="17"/>
  <c r="AP17" i="17"/>
  <c r="AQ7" i="17"/>
  <c r="AQ23" i="17" s="1"/>
  <c r="AP11" i="17"/>
  <c r="AP9" i="17"/>
  <c r="AQ26" i="17" l="1"/>
  <c r="AQ24" i="17"/>
  <c r="AQ25" i="17"/>
  <c r="AQ14" i="17"/>
  <c r="AQ18" i="17"/>
  <c r="AQ21" i="17"/>
  <c r="AQ15" i="17"/>
  <c r="AQ12" i="17"/>
  <c r="AQ19" i="17"/>
  <c r="AQ16" i="17"/>
  <c r="AQ13" i="17"/>
  <c r="AQ17" i="17"/>
  <c r="AQ22" i="17"/>
  <c r="AQ20" i="17"/>
  <c r="AR7" i="17"/>
  <c r="AR23" i="17" s="1"/>
  <c r="AQ11" i="17"/>
  <c r="AQ9" i="17"/>
  <c r="AQ6" i="17"/>
  <c r="AR26" i="17" l="1"/>
  <c r="AR24" i="17"/>
  <c r="AR25" i="17"/>
  <c r="AR17" i="17"/>
  <c r="AR14" i="17"/>
  <c r="AR21" i="17"/>
  <c r="AR15" i="17"/>
  <c r="AR22" i="17"/>
  <c r="AR12" i="17"/>
  <c r="AR19" i="17"/>
  <c r="AR16" i="17"/>
  <c r="AR18" i="17"/>
  <c r="AR13" i="17"/>
  <c r="AR20" i="17"/>
  <c r="AR11" i="17"/>
  <c r="AR9" i="17"/>
  <c r="AS7" i="17"/>
  <c r="AS23" i="17" s="1"/>
  <c r="AS26" i="17" l="1"/>
  <c r="AS24" i="17"/>
  <c r="AS25" i="17"/>
  <c r="AS17" i="17"/>
  <c r="AS14" i="17"/>
  <c r="AS21" i="17"/>
  <c r="AS15" i="17"/>
  <c r="AS22" i="17"/>
  <c r="AS12" i="17"/>
  <c r="AS19" i="17"/>
  <c r="AS16" i="17"/>
  <c r="AS18" i="17"/>
  <c r="AS13" i="17"/>
  <c r="AS20" i="17"/>
  <c r="AT7" i="17"/>
  <c r="AT23" i="17" s="1"/>
  <c r="AS9" i="17"/>
  <c r="AS11" i="17"/>
  <c r="AT26" i="17" l="1"/>
  <c r="AT24" i="17"/>
  <c r="AT25" i="17"/>
  <c r="AT17" i="17"/>
  <c r="AT21" i="17"/>
  <c r="AT14" i="17"/>
  <c r="AT18" i="17"/>
  <c r="AT15" i="17"/>
  <c r="AT22" i="17"/>
  <c r="AT12" i="17"/>
  <c r="AT19" i="17"/>
  <c r="AT16" i="17"/>
  <c r="AT13" i="17"/>
  <c r="AT20" i="17"/>
  <c r="AU7" i="17"/>
  <c r="AU23" i="17" s="1"/>
  <c r="AT11" i="17"/>
  <c r="AT9" i="17"/>
  <c r="AU25" i="17" l="1"/>
  <c r="AU26" i="17"/>
  <c r="AU24" i="17"/>
  <c r="AU20" i="17"/>
  <c r="AU17" i="17"/>
  <c r="AU14" i="17"/>
  <c r="AU15" i="17"/>
  <c r="AU22" i="17"/>
  <c r="AU12" i="17"/>
  <c r="AU19" i="17"/>
  <c r="AU18" i="17"/>
  <c r="AU13" i="17"/>
  <c r="AU16" i="17"/>
  <c r="AU21" i="17"/>
  <c r="AV7" i="17"/>
  <c r="AV23" i="17" s="1"/>
  <c r="AU11" i="17"/>
  <c r="AU9" i="17"/>
  <c r="AV25" i="17" l="1"/>
  <c r="AV26" i="17"/>
  <c r="AV24" i="17"/>
  <c r="AV13" i="17"/>
  <c r="AV20" i="17"/>
  <c r="AV17" i="17"/>
  <c r="AV18" i="17"/>
  <c r="AV15" i="17"/>
  <c r="AV22" i="17"/>
  <c r="AV12" i="17"/>
  <c r="AV19" i="17"/>
  <c r="AV14" i="17"/>
  <c r="AV21" i="17"/>
  <c r="AV16" i="17"/>
  <c r="AV11" i="17"/>
  <c r="AV9" i="17"/>
  <c r="AW7" i="17"/>
  <c r="AW23" i="17" s="1"/>
  <c r="AW25" i="17" l="1"/>
  <c r="AW24" i="17"/>
  <c r="AW26" i="17"/>
  <c r="AW13" i="17"/>
  <c r="AW20" i="17"/>
  <c r="AW17" i="17"/>
  <c r="AW21" i="17"/>
  <c r="AW18" i="17"/>
  <c r="AW15" i="17"/>
  <c r="AW22" i="17"/>
  <c r="AW12" i="17"/>
  <c r="AW19" i="17"/>
  <c r="AW16" i="17"/>
  <c r="AW14" i="17"/>
  <c r="AX7" i="17"/>
  <c r="AX23" i="17" s="1"/>
  <c r="AW9" i="17"/>
  <c r="AW11" i="17"/>
  <c r="AX25" i="17" l="1"/>
  <c r="AX26" i="17"/>
  <c r="AX24" i="17"/>
  <c r="AX13" i="17"/>
  <c r="AX17" i="17"/>
  <c r="AX20" i="17"/>
  <c r="AX14" i="17"/>
  <c r="AX18" i="17"/>
  <c r="AX15" i="17"/>
  <c r="AX22" i="17"/>
  <c r="AX12" i="17"/>
  <c r="AX19" i="17"/>
  <c r="AX16" i="17"/>
  <c r="AX21" i="17"/>
  <c r="AY7" i="17"/>
  <c r="AY23" i="17" s="1"/>
  <c r="AX11" i="17"/>
  <c r="AX9" i="17"/>
  <c r="AX6" i="17"/>
  <c r="AY25" i="17" l="1"/>
  <c r="AY26" i="17"/>
  <c r="AY24" i="17"/>
  <c r="AY16" i="17"/>
  <c r="AY13" i="17"/>
  <c r="AY20" i="17"/>
  <c r="AY14" i="17"/>
  <c r="AY21" i="17"/>
  <c r="AY18" i="17"/>
  <c r="AY15" i="17"/>
  <c r="AY22" i="17"/>
  <c r="AY17" i="17"/>
  <c r="AY12" i="17"/>
  <c r="AY19" i="17"/>
  <c r="AZ7" i="17"/>
  <c r="AZ23" i="17" s="1"/>
  <c r="AY11" i="17"/>
  <c r="AY9" i="17"/>
  <c r="AZ24" i="17" l="1"/>
  <c r="AZ25" i="17"/>
  <c r="AZ26" i="17"/>
  <c r="AZ16" i="17"/>
  <c r="AZ13" i="17"/>
  <c r="AZ20" i="17"/>
  <c r="AZ14" i="17"/>
  <c r="AZ21" i="17"/>
  <c r="AZ18" i="17"/>
  <c r="AZ15" i="17"/>
  <c r="AZ22" i="17"/>
  <c r="AZ12" i="17"/>
  <c r="AZ19" i="17"/>
  <c r="AZ17" i="17"/>
  <c r="AZ11" i="17"/>
  <c r="AZ9" i="17"/>
  <c r="BA7" i="17"/>
  <c r="BA23" i="17" s="1"/>
  <c r="BA25" i="17" l="1"/>
  <c r="BA26" i="17"/>
  <c r="BA24" i="17"/>
  <c r="BA16" i="17"/>
  <c r="BA13" i="17"/>
  <c r="BA20" i="17"/>
  <c r="BA17" i="17"/>
  <c r="BA14" i="17"/>
  <c r="BA21" i="17"/>
  <c r="BA18" i="17"/>
  <c r="BA15" i="17"/>
  <c r="BA22" i="17"/>
  <c r="BA12" i="17"/>
  <c r="BA19" i="17"/>
  <c r="BB7" i="17"/>
  <c r="BB23" i="17" s="1"/>
  <c r="BA11" i="17"/>
  <c r="BA9" i="17"/>
  <c r="BB25" i="17" l="1"/>
  <c r="BB26" i="17"/>
  <c r="BB24" i="17"/>
  <c r="BB19" i="17"/>
  <c r="BB16" i="17"/>
  <c r="BB13" i="17"/>
  <c r="BB14" i="17"/>
  <c r="BB21" i="17"/>
  <c r="BB18" i="17"/>
  <c r="BB22" i="17"/>
  <c r="BB17" i="17"/>
  <c r="BB12" i="17"/>
  <c r="BB15" i="17"/>
  <c r="BB20" i="17"/>
  <c r="BC7" i="17"/>
  <c r="BC23" i="17" s="1"/>
  <c r="BB11" i="17"/>
  <c r="BB9" i="17"/>
  <c r="BC25" i="17" l="1"/>
  <c r="BC26" i="17"/>
  <c r="BC24" i="17"/>
  <c r="BC12" i="17"/>
  <c r="BC19" i="17"/>
  <c r="BC16" i="17"/>
  <c r="BC17" i="17"/>
  <c r="BC14" i="17"/>
  <c r="BC21" i="17"/>
  <c r="BC18" i="17"/>
  <c r="BC22" i="17"/>
  <c r="BC20" i="17"/>
  <c r="BC13" i="17"/>
  <c r="BC15" i="17"/>
  <c r="BD7" i="17"/>
  <c r="BD23" i="17" s="1"/>
  <c r="BC11" i="17"/>
  <c r="BC9" i="17"/>
  <c r="BD24" i="17" l="1"/>
  <c r="BD25" i="17"/>
  <c r="BD26" i="17"/>
  <c r="BD12" i="17"/>
  <c r="BD19" i="17"/>
  <c r="BD16" i="17"/>
  <c r="BD20" i="17"/>
  <c r="BD17" i="17"/>
  <c r="BD14" i="17"/>
  <c r="BD21" i="17"/>
  <c r="BD18" i="17"/>
  <c r="BD22" i="17"/>
  <c r="BD15" i="17"/>
  <c r="BD13" i="17"/>
  <c r="BD11" i="17"/>
  <c r="BD9" i="17"/>
  <c r="BE7" i="17"/>
  <c r="BE23" i="17" s="1"/>
  <c r="BE24" i="17" l="1"/>
  <c r="BE25" i="17"/>
  <c r="BE26" i="17"/>
  <c r="BE22" i="17"/>
  <c r="BE16" i="17"/>
  <c r="BE12" i="17"/>
  <c r="BE19" i="17"/>
  <c r="BE13" i="17"/>
  <c r="BE17" i="17"/>
  <c r="BE14" i="17"/>
  <c r="BE21" i="17"/>
  <c r="BE18" i="17"/>
  <c r="BE15" i="17"/>
  <c r="BE20" i="17"/>
  <c r="BE6" i="17"/>
  <c r="BF7" i="17"/>
  <c r="BF23" i="17" s="1"/>
  <c r="BE11" i="17"/>
  <c r="BE9" i="17"/>
  <c r="BF24" i="17" l="1"/>
  <c r="BF25" i="17"/>
  <c r="BF26" i="17"/>
  <c r="BF15" i="17"/>
  <c r="BF22" i="17"/>
  <c r="BF12" i="17"/>
  <c r="BF19" i="17"/>
  <c r="BF13" i="17"/>
  <c r="BF20" i="17"/>
  <c r="BF17" i="17"/>
  <c r="BF14" i="17"/>
  <c r="BF21" i="17"/>
  <c r="BF18" i="17"/>
  <c r="BF16" i="17"/>
  <c r="BG7" i="17"/>
  <c r="BG23" i="17" s="1"/>
  <c r="BF11" i="17"/>
  <c r="BF9" i="17"/>
  <c r="BG24" i="17" l="1"/>
  <c r="BG25" i="17"/>
  <c r="BG26" i="17"/>
  <c r="BG15" i="17"/>
  <c r="BG22" i="17"/>
  <c r="BG12" i="17"/>
  <c r="BG19" i="17"/>
  <c r="BG13" i="17"/>
  <c r="BG20" i="17"/>
  <c r="BG17" i="17"/>
  <c r="BG14" i="17"/>
  <c r="BG21" i="17"/>
  <c r="BG18" i="17"/>
  <c r="BG16" i="17"/>
  <c r="BH7" i="17"/>
  <c r="BH23" i="17" s="1"/>
  <c r="BG11" i="17"/>
  <c r="BG9" i="17"/>
  <c r="BH24" i="17" l="1"/>
  <c r="BH25" i="17"/>
  <c r="BH26" i="17"/>
  <c r="BH15" i="17"/>
  <c r="BH22" i="17"/>
  <c r="BH12" i="17"/>
  <c r="BH19" i="17"/>
  <c r="BH16" i="17"/>
  <c r="BH13" i="17"/>
  <c r="BH20" i="17"/>
  <c r="BH17" i="17"/>
  <c r="BH14" i="17"/>
  <c r="BH18" i="17"/>
  <c r="BH21" i="17"/>
  <c r="BH11" i="17"/>
  <c r="BH9" i="17"/>
  <c r="BI7" i="17"/>
  <c r="BI23" i="17" s="1"/>
  <c r="BI25" i="17" l="1"/>
  <c r="BI24" i="17"/>
  <c r="BI26" i="17"/>
  <c r="BI18" i="17"/>
  <c r="BI15" i="17"/>
  <c r="BI12" i="17"/>
  <c r="BI22" i="17"/>
  <c r="BI16" i="17"/>
  <c r="BI13" i="17"/>
  <c r="BI20" i="17"/>
  <c r="BI17" i="17"/>
  <c r="BI21" i="17"/>
  <c r="BI19" i="17"/>
  <c r="BI14" i="17"/>
  <c r="BJ7" i="17"/>
  <c r="BJ23" i="17" s="1"/>
  <c r="BI9" i="17"/>
  <c r="BI11" i="17"/>
  <c r="BJ24" i="17" l="1"/>
  <c r="BJ25" i="17"/>
  <c r="BJ26" i="17"/>
  <c r="BJ18" i="17"/>
  <c r="BJ15" i="17"/>
  <c r="BJ22" i="17"/>
  <c r="BJ16" i="17"/>
  <c r="BJ13" i="17"/>
  <c r="BJ20" i="17"/>
  <c r="BJ17" i="17"/>
  <c r="BJ21" i="17"/>
  <c r="BJ12" i="17"/>
  <c r="BJ19" i="17"/>
  <c r="BJ14" i="17"/>
  <c r="BK7" i="17"/>
  <c r="BK23" i="17" s="1"/>
  <c r="BJ11" i="17"/>
  <c r="BJ9" i="17"/>
  <c r="BK24" i="17" l="1"/>
  <c r="BK26" i="17"/>
  <c r="BK25" i="17"/>
  <c r="BK18" i="17"/>
  <c r="BK15" i="17"/>
  <c r="BK22" i="17"/>
  <c r="BK19" i="17"/>
  <c r="BK16" i="17"/>
  <c r="BK13" i="17"/>
  <c r="BK20" i="17"/>
  <c r="BK17" i="17"/>
  <c r="BK21" i="17"/>
  <c r="BK12" i="17"/>
  <c r="BK14" i="17"/>
  <c r="BL7" i="17"/>
  <c r="BL23" i="17" s="1"/>
  <c r="BK11" i="17"/>
  <c r="BK9" i="17"/>
  <c r="BL26" i="17" l="1"/>
  <c r="BL24" i="17"/>
  <c r="BL25" i="17"/>
  <c r="BL21" i="17"/>
  <c r="BL15" i="17"/>
  <c r="BL18" i="17"/>
  <c r="BL12" i="17"/>
  <c r="BL16" i="17"/>
  <c r="BL13" i="17"/>
  <c r="BL20" i="17"/>
  <c r="BL17" i="17"/>
  <c r="BL22" i="17"/>
  <c r="BL19" i="17"/>
  <c r="BL14" i="17"/>
  <c r="BM7" i="17"/>
  <c r="BM23" i="17" s="1"/>
  <c r="BL11" i="17"/>
  <c r="BL9" i="17"/>
  <c r="BM26" i="17" l="1"/>
  <c r="BM24" i="17"/>
  <c r="BM25" i="17"/>
  <c r="BM14" i="17"/>
  <c r="BM21" i="17"/>
  <c r="BM18" i="17"/>
  <c r="BM12" i="17"/>
  <c r="BM19" i="17"/>
  <c r="BM16" i="17"/>
  <c r="BM13" i="17"/>
  <c r="BM20" i="17"/>
  <c r="BM17" i="17"/>
  <c r="BM22" i="17"/>
  <c r="BM15" i="17"/>
  <c r="BM9" i="17"/>
  <c r="BN7" i="17"/>
  <c r="BN23" i="17" s="1"/>
  <c r="BM11" i="17"/>
  <c r="BN26" i="17" l="1"/>
  <c r="BN24" i="17"/>
  <c r="BN25" i="17"/>
  <c r="BN14" i="17"/>
  <c r="BN21" i="17"/>
  <c r="BN18" i="17"/>
  <c r="BN22" i="17"/>
  <c r="BN12" i="17"/>
  <c r="BN19" i="17"/>
  <c r="BN16" i="17"/>
  <c r="BN13" i="17"/>
  <c r="BN20" i="17"/>
  <c r="BN17" i="17"/>
  <c r="BN15" i="17"/>
  <c r="BN9" i="17"/>
  <c r="BO7" i="17"/>
  <c r="BO23" i="17" s="1"/>
  <c r="BN11" i="17"/>
  <c r="BO26" i="17" l="1"/>
  <c r="BO24" i="17"/>
  <c r="BO25" i="17"/>
  <c r="BO14" i="17"/>
  <c r="BO21" i="17"/>
  <c r="BO18" i="17"/>
  <c r="BO15" i="17"/>
  <c r="BO12" i="17"/>
  <c r="BO19" i="17"/>
  <c r="BO16" i="17"/>
  <c r="BO13" i="17"/>
  <c r="BO17" i="17"/>
  <c r="BO22" i="17"/>
  <c r="BO20" i="17"/>
  <c r="BO9" i="17"/>
  <c r="BP7" i="17"/>
  <c r="BP23" i="17" s="1"/>
  <c r="BO11" i="17"/>
  <c r="BP26" i="17" l="1"/>
  <c r="BP25" i="17"/>
  <c r="BP24" i="17"/>
  <c r="BP17" i="17"/>
  <c r="BP14" i="17"/>
  <c r="BP21" i="17"/>
  <c r="BP15" i="17"/>
  <c r="BP22" i="17"/>
  <c r="BP12" i="17"/>
  <c r="BP19" i="17"/>
  <c r="BP16" i="17"/>
  <c r="BP18" i="17"/>
  <c r="BP20" i="17"/>
  <c r="BP13" i="17"/>
  <c r="BP11" i="17"/>
  <c r="BP9" i="17"/>
  <c r="BQ7" i="17"/>
  <c r="BQ23" i="17" s="1"/>
  <c r="BQ25" i="17" l="1"/>
  <c r="BQ26" i="17"/>
  <c r="BQ24" i="17"/>
  <c r="BQ17" i="17"/>
  <c r="BQ14" i="17"/>
  <c r="BQ21" i="17"/>
  <c r="BQ15" i="17"/>
  <c r="BQ22" i="17"/>
  <c r="BQ12" i="17"/>
  <c r="BQ19" i="17"/>
  <c r="BQ16" i="17"/>
  <c r="BQ20" i="17"/>
  <c r="BQ18" i="17"/>
  <c r="BQ13" i="17"/>
  <c r="BQ11" i="17"/>
  <c r="BR7" i="17"/>
  <c r="BR23" i="17" s="1"/>
  <c r="BQ9" i="17"/>
  <c r="BR26" i="17" l="1"/>
  <c r="BR24" i="17"/>
  <c r="BR25" i="17"/>
  <c r="BR17" i="17"/>
  <c r="BR14" i="17"/>
  <c r="BR21" i="17"/>
  <c r="BR18" i="17"/>
  <c r="BR15" i="17"/>
  <c r="BR22" i="17"/>
  <c r="BR12" i="17"/>
  <c r="BR19" i="17"/>
  <c r="BR16" i="17"/>
  <c r="BR20" i="17"/>
  <c r="BR13" i="17"/>
  <c r="BS7" i="17"/>
  <c r="BS23" i="17" s="1"/>
  <c r="BR11" i="17"/>
  <c r="BR9" i="17"/>
  <c r="BS26" i="17" l="1"/>
  <c r="BS25" i="17"/>
  <c r="BS24" i="17"/>
  <c r="BS20" i="17"/>
  <c r="BS14" i="17"/>
  <c r="BS17" i="17"/>
  <c r="BS15" i="17"/>
  <c r="BS22" i="17"/>
  <c r="BS12" i="17"/>
  <c r="BS19" i="17"/>
  <c r="BS16" i="17"/>
  <c r="BS21" i="17"/>
  <c r="BS18" i="17"/>
  <c r="BS13" i="17"/>
  <c r="BS9" i="17"/>
  <c r="BT7" i="17"/>
  <c r="BT23" i="17" s="1"/>
  <c r="BS11" i="17"/>
  <c r="BT26" i="17" l="1"/>
  <c r="BT24" i="17"/>
  <c r="BT25" i="17"/>
  <c r="BT13" i="17"/>
  <c r="BT20" i="17"/>
  <c r="BT17" i="17"/>
  <c r="BT18" i="17"/>
  <c r="BT15" i="17"/>
  <c r="BT22" i="17"/>
  <c r="BT12" i="17"/>
  <c r="BT19" i="17"/>
  <c r="BT21" i="17"/>
  <c r="BT14" i="17"/>
  <c r="BT16" i="17"/>
  <c r="BU7" i="17"/>
  <c r="BU23" i="17" s="1"/>
  <c r="BT11" i="17"/>
  <c r="BT9" i="17"/>
  <c r="BU25" i="17" l="1"/>
  <c r="BU26" i="17"/>
  <c r="BU24" i="17"/>
  <c r="BU13" i="17"/>
  <c r="BU20" i="17"/>
  <c r="BU17" i="17"/>
  <c r="BU21" i="17"/>
  <c r="BU18" i="17"/>
  <c r="BU22" i="17"/>
  <c r="BU15" i="17"/>
  <c r="BU12" i="17"/>
  <c r="BU19" i="17"/>
  <c r="BU16" i="17"/>
  <c r="BU14" i="17"/>
  <c r="BV7" i="17"/>
  <c r="BV23" i="17" s="1"/>
  <c r="BU9" i="17"/>
  <c r="BU11" i="17"/>
  <c r="BV26" i="17" l="1"/>
  <c r="BV25" i="17"/>
  <c r="BV24" i="17"/>
  <c r="BV13" i="17"/>
  <c r="BV20" i="17"/>
  <c r="BV17" i="17"/>
  <c r="BV14" i="17"/>
  <c r="BV18" i="17"/>
  <c r="BV15" i="17"/>
  <c r="BV22" i="17"/>
  <c r="BV12" i="17"/>
  <c r="BV16" i="17"/>
  <c r="BV21" i="17"/>
  <c r="BV19" i="17"/>
  <c r="BV9" i="17"/>
  <c r="BV11" i="17"/>
  <c r="BW7" i="17"/>
  <c r="BW23" i="17" s="1"/>
  <c r="BW25" i="17" l="1"/>
  <c r="BW26" i="17"/>
  <c r="BW24" i="17"/>
  <c r="BW16" i="17"/>
  <c r="BW13" i="17"/>
  <c r="BW20" i="17"/>
  <c r="BW14" i="17"/>
  <c r="BW21" i="17"/>
  <c r="BW18" i="17"/>
  <c r="BW15" i="17"/>
  <c r="BW22" i="17"/>
  <c r="BW17" i="17"/>
  <c r="BW12" i="17"/>
  <c r="BW19" i="17"/>
  <c r="BW9" i="17"/>
  <c r="BX7" i="17"/>
  <c r="BX23" i="17" s="1"/>
  <c r="BW11" i="17"/>
  <c r="BX25" i="17" l="1"/>
  <c r="BX26" i="17"/>
  <c r="BX24" i="17"/>
  <c r="BX16" i="17"/>
  <c r="BX13" i="17"/>
  <c r="BX20" i="17"/>
  <c r="BX14" i="17"/>
  <c r="BX21" i="17"/>
  <c r="BX18" i="17"/>
  <c r="BX15" i="17"/>
  <c r="BX22" i="17"/>
  <c r="BX17" i="17"/>
  <c r="BX12" i="17"/>
  <c r="BX19" i="17"/>
  <c r="BX6" i="17"/>
  <c r="BY7" i="17"/>
  <c r="BY23" i="17" s="1"/>
  <c r="BX9" i="17"/>
  <c r="BX11" i="17"/>
  <c r="BY25" i="17" l="1"/>
  <c r="BY24" i="17"/>
  <c r="BY26" i="17"/>
  <c r="BY16" i="17"/>
  <c r="BY20" i="17"/>
  <c r="BY13" i="17"/>
  <c r="BY17" i="17"/>
  <c r="BY14" i="17"/>
  <c r="BY21" i="17"/>
  <c r="BY18" i="17"/>
  <c r="BY15" i="17"/>
  <c r="BY22" i="17"/>
  <c r="BY12" i="17"/>
  <c r="BY19" i="17"/>
  <c r="BZ7" i="17"/>
  <c r="BZ23" i="17" s="1"/>
  <c r="BY9" i="17"/>
  <c r="BY11" i="17"/>
  <c r="BZ26" i="17" l="1"/>
  <c r="BZ25" i="17"/>
  <c r="BZ24" i="17"/>
  <c r="BZ19" i="17"/>
  <c r="BZ13" i="17"/>
  <c r="BZ16" i="17"/>
  <c r="BZ14" i="17"/>
  <c r="BZ21" i="17"/>
  <c r="BZ18" i="17"/>
  <c r="BZ15" i="17"/>
  <c r="BZ20" i="17"/>
  <c r="BZ17" i="17"/>
  <c r="BZ22" i="17"/>
  <c r="BZ12" i="17"/>
  <c r="BZ11" i="17"/>
  <c r="CA7" i="17"/>
  <c r="CA23" i="17" s="1"/>
  <c r="BZ9" i="17"/>
  <c r="CA25" i="17" l="1"/>
  <c r="CA26" i="17"/>
  <c r="CA24" i="17"/>
  <c r="CA12" i="17"/>
  <c r="CA19" i="17"/>
  <c r="CA16" i="17"/>
  <c r="CA17" i="17"/>
  <c r="CA14" i="17"/>
  <c r="CA21" i="17"/>
  <c r="CA18" i="17"/>
  <c r="CA20" i="17"/>
  <c r="CA22" i="17"/>
  <c r="CA15" i="17"/>
  <c r="CA13" i="17"/>
  <c r="CA11" i="17"/>
  <c r="CA9" i="17"/>
  <c r="CB7" i="17"/>
  <c r="CB23" i="17" s="1"/>
  <c r="CB24" i="17" l="1"/>
  <c r="CB25" i="17"/>
  <c r="CB26" i="17"/>
  <c r="CB12" i="17"/>
  <c r="CB19" i="17"/>
  <c r="CB16" i="17"/>
  <c r="CB20" i="17"/>
  <c r="CB17" i="17"/>
  <c r="CB14" i="17"/>
  <c r="CB21" i="17"/>
  <c r="CB18" i="17"/>
  <c r="CB13" i="17"/>
  <c r="CB15" i="17"/>
  <c r="CB22" i="17"/>
  <c r="CC7" i="17"/>
  <c r="CC23" i="17" s="1"/>
  <c r="CB11" i="17"/>
  <c r="CB9" i="17"/>
  <c r="CC11" i="17" l="1"/>
  <c r="CC24" i="17"/>
  <c r="CC25" i="17"/>
  <c r="CC26" i="17"/>
  <c r="CC9" i="17"/>
  <c r="CC22" i="17"/>
  <c r="CC12" i="17"/>
  <c r="CC16" i="17"/>
  <c r="CC19" i="17"/>
  <c r="CC13" i="17"/>
  <c r="CC17" i="17"/>
  <c r="CC14" i="17"/>
  <c r="CC21" i="17"/>
  <c r="CC15" i="17"/>
  <c r="CC20" i="17"/>
  <c r="CC18" i="17"/>
  <c r="CD7" i="17"/>
  <c r="CD23" i="17" s="1"/>
  <c r="CD24" i="17" l="1"/>
  <c r="CD25" i="17"/>
  <c r="CD26" i="17"/>
  <c r="CD15" i="17"/>
  <c r="CD22" i="17"/>
  <c r="CD12" i="17"/>
  <c r="CD19" i="17"/>
  <c r="CD13" i="17"/>
  <c r="CD20" i="17"/>
  <c r="CD17" i="17"/>
  <c r="CD14" i="17"/>
  <c r="CD21" i="17"/>
  <c r="CD16" i="17"/>
  <c r="CD18" i="17"/>
  <c r="CE7" i="17"/>
  <c r="CE23" i="17" s="1"/>
  <c r="CD11" i="17"/>
  <c r="CD9" i="17"/>
  <c r="CE26" i="17" l="1"/>
  <c r="CE24" i="17"/>
  <c r="CE25" i="17"/>
  <c r="CE15" i="17"/>
  <c r="CE22" i="17"/>
  <c r="CE12" i="17"/>
  <c r="CE19" i="17"/>
  <c r="CE13" i="17"/>
  <c r="CE20" i="17"/>
  <c r="CE17" i="17"/>
  <c r="CE14" i="17"/>
  <c r="CE21" i="17"/>
  <c r="CE16" i="17"/>
  <c r="CE18" i="17"/>
  <c r="CE9" i="17"/>
  <c r="CE11" i="17"/>
  <c r="CF7" i="17"/>
  <c r="CF9" i="17" l="1"/>
  <c r="CF23" i="17"/>
  <c r="CG7" i="17"/>
  <c r="CG23" i="17" s="1"/>
  <c r="CF11" i="17"/>
  <c r="CG26" i="17"/>
  <c r="CG24" i="17"/>
  <c r="CG25" i="17"/>
  <c r="CF24" i="17"/>
  <c r="CF25" i="17"/>
  <c r="CF26" i="17"/>
  <c r="CG18" i="17"/>
  <c r="CG12" i="17"/>
  <c r="CG15" i="17"/>
  <c r="CG22" i="17"/>
  <c r="CG16" i="17"/>
  <c r="CG13" i="17"/>
  <c r="CG20" i="17"/>
  <c r="CG17" i="17"/>
  <c r="CG21" i="17"/>
  <c r="CG19" i="17"/>
  <c r="CG14" i="17"/>
  <c r="CF15" i="17"/>
  <c r="CF22" i="17"/>
  <c r="CF19" i="17"/>
  <c r="CF12" i="17"/>
  <c r="CF16" i="17"/>
  <c r="CF13" i="17"/>
  <c r="CF20" i="17"/>
  <c r="CF17" i="17"/>
  <c r="CF14" i="17"/>
  <c r="CF21" i="17"/>
  <c r="CF18" i="17"/>
  <c r="CG9" i="17"/>
  <c r="CH7" i="17"/>
  <c r="CH23" i="17" s="1"/>
  <c r="CG11" i="17"/>
  <c r="CH24" i="17" l="1"/>
  <c r="CH25" i="17"/>
  <c r="CH26" i="17"/>
  <c r="CH18" i="17"/>
  <c r="CH15" i="17"/>
  <c r="CH22" i="17"/>
  <c r="CH16" i="17"/>
  <c r="CH13" i="17"/>
  <c r="CH20" i="17"/>
  <c r="CH17" i="17"/>
  <c r="CH21" i="17"/>
  <c r="CH12" i="17"/>
  <c r="CH19" i="17"/>
  <c r="CH14" i="17"/>
  <c r="CH11" i="17"/>
  <c r="CH9" i="17"/>
  <c r="CI7" i="17"/>
  <c r="CI23" i="17" s="1"/>
  <c r="CI25" i="17" l="1"/>
  <c r="CI24" i="17"/>
  <c r="CI26" i="17"/>
  <c r="CI22" i="17"/>
  <c r="CI18" i="17"/>
  <c r="CI15" i="17"/>
  <c r="CI19" i="17"/>
  <c r="CI16" i="17"/>
  <c r="CI13" i="17"/>
  <c r="CI20" i="17"/>
  <c r="CI17" i="17"/>
  <c r="CI14" i="17"/>
  <c r="CI21" i="17"/>
  <c r="CI12" i="17"/>
  <c r="CJ7" i="17"/>
  <c r="CJ23" i="17" s="1"/>
  <c r="CI9" i="17"/>
  <c r="CI11" i="17"/>
  <c r="CJ26" i="17" l="1"/>
  <c r="CJ24" i="17"/>
  <c r="CJ25" i="17"/>
  <c r="CJ21" i="17"/>
  <c r="CJ15" i="17"/>
  <c r="CJ18" i="17"/>
  <c r="CJ12" i="17"/>
  <c r="CJ16" i="17"/>
  <c r="CJ13" i="17"/>
  <c r="CJ20" i="17"/>
  <c r="CJ14" i="17"/>
  <c r="CJ17" i="17"/>
  <c r="CJ22" i="17"/>
  <c r="CJ19" i="17"/>
  <c r="CJ9" i="17"/>
  <c r="CJ11" i="17"/>
  <c r="CK7" i="17"/>
  <c r="CK23" i="17" s="1"/>
  <c r="CK24" i="17" l="1"/>
  <c r="CK26" i="17"/>
  <c r="CK25" i="17"/>
  <c r="CK14" i="17"/>
  <c r="CK21" i="17"/>
  <c r="CK18" i="17"/>
  <c r="CK12" i="17"/>
  <c r="CK19" i="17"/>
  <c r="CK16" i="17"/>
  <c r="CK13" i="17"/>
  <c r="CK20" i="17"/>
  <c r="CK15" i="17"/>
  <c r="CK17" i="17"/>
  <c r="CK22" i="17"/>
  <c r="CK11" i="17"/>
  <c r="CK9" i="17"/>
  <c r="CL7" i="17"/>
  <c r="CL23" i="17" s="1"/>
  <c r="CL26" i="17" l="1"/>
  <c r="CL24" i="17"/>
  <c r="CL25" i="17"/>
  <c r="CL14" i="17"/>
  <c r="CL21" i="17"/>
  <c r="CL18" i="17"/>
  <c r="CL22" i="17"/>
  <c r="CL12" i="17"/>
  <c r="CL19" i="17"/>
  <c r="CL16" i="17"/>
  <c r="CL13" i="17"/>
  <c r="CL20" i="17"/>
  <c r="CL15" i="17"/>
  <c r="CL17" i="17"/>
  <c r="CM7" i="17"/>
  <c r="CM23" i="17" s="1"/>
  <c r="CL9" i="17"/>
  <c r="CL11" i="17"/>
  <c r="CM26" i="17" l="1"/>
  <c r="CM25" i="17"/>
  <c r="CM24" i="17"/>
  <c r="CM14" i="17"/>
  <c r="CM21" i="17"/>
  <c r="CM18" i="17"/>
  <c r="CM15" i="17"/>
  <c r="CM12" i="17"/>
  <c r="CM19" i="17"/>
  <c r="CM16" i="17"/>
  <c r="CM13" i="17"/>
  <c r="CM20" i="17"/>
  <c r="CM17" i="17"/>
  <c r="CM22" i="17"/>
  <c r="CM9" i="17"/>
  <c r="CM11" i="17"/>
  <c r="CN7" i="17"/>
  <c r="CN23" i="17" s="1"/>
  <c r="CN26" i="17" l="1"/>
  <c r="CN24" i="17"/>
  <c r="CN25" i="17"/>
  <c r="CN17" i="17"/>
  <c r="CN14" i="17"/>
  <c r="CN21" i="17"/>
  <c r="CN15" i="17"/>
  <c r="CN22" i="17"/>
  <c r="CN12" i="17"/>
  <c r="CN19" i="17"/>
  <c r="CN16" i="17"/>
  <c r="CN20" i="17"/>
  <c r="CN18" i="17"/>
  <c r="CN13" i="17"/>
  <c r="CN11" i="17"/>
  <c r="CO7" i="17"/>
  <c r="CO23" i="17" s="1"/>
  <c r="CN9" i="17"/>
  <c r="CO26" i="17" l="1"/>
  <c r="CO25" i="17"/>
  <c r="CO24" i="17"/>
  <c r="CO17" i="17"/>
  <c r="CO14" i="17"/>
  <c r="CO21" i="17"/>
  <c r="CO15" i="17"/>
  <c r="CO22" i="17"/>
  <c r="CO12" i="17"/>
  <c r="CO19" i="17"/>
  <c r="CO16" i="17"/>
  <c r="CO20" i="17"/>
  <c r="CO13" i="17"/>
  <c r="CO18" i="17"/>
  <c r="CP7" i="17"/>
  <c r="CP23" i="17" s="1"/>
  <c r="CO9" i="17"/>
  <c r="CO11" i="17"/>
  <c r="CP26" i="17" l="1"/>
  <c r="CP25" i="17"/>
  <c r="CP24" i="17"/>
  <c r="CP21" i="17"/>
  <c r="CP17" i="17"/>
  <c r="CP14" i="17"/>
  <c r="CP18" i="17"/>
  <c r="CP15" i="17"/>
  <c r="CP22" i="17"/>
  <c r="CP12" i="17"/>
  <c r="CP19" i="17"/>
  <c r="CP16" i="17"/>
  <c r="CP20" i="17"/>
  <c r="CP13" i="17"/>
  <c r="CQ7" i="17"/>
  <c r="CQ23" i="17" s="1"/>
  <c r="CP9" i="17"/>
  <c r="CP11" i="17"/>
  <c r="CQ26" i="17" l="1"/>
  <c r="CQ25" i="17"/>
  <c r="CQ24" i="17"/>
  <c r="CQ20" i="17"/>
  <c r="CQ14" i="17"/>
  <c r="CQ17" i="17"/>
  <c r="CQ15" i="17"/>
  <c r="CQ22" i="17"/>
  <c r="CQ12" i="17"/>
  <c r="CQ19" i="17"/>
  <c r="CQ13" i="17"/>
  <c r="CQ16" i="17"/>
  <c r="CQ21" i="17"/>
  <c r="CQ18" i="17"/>
  <c r="CQ11" i="17"/>
  <c r="CQ9" i="17"/>
  <c r="CR7" i="17"/>
  <c r="CR23" i="17" s="1"/>
  <c r="CR26" i="17" l="1"/>
  <c r="CR25" i="17"/>
  <c r="CR24" i="17"/>
  <c r="CR13" i="17"/>
  <c r="CR20" i="17"/>
  <c r="CR17" i="17"/>
  <c r="CR18" i="17"/>
  <c r="CR15" i="17"/>
  <c r="CR22" i="17"/>
  <c r="CR12" i="17"/>
  <c r="CR19" i="17"/>
  <c r="CR16" i="17"/>
  <c r="CR14" i="17"/>
  <c r="CR21" i="17"/>
  <c r="CS7" i="17"/>
  <c r="CS23" i="17" s="1"/>
  <c r="CR9" i="17"/>
  <c r="CR11" i="17"/>
  <c r="CS25" i="17" l="1"/>
  <c r="CS24" i="17"/>
  <c r="CS26" i="17"/>
  <c r="CS13" i="17"/>
  <c r="CS20" i="17"/>
  <c r="CS17" i="17"/>
  <c r="CS21" i="17"/>
  <c r="CS18" i="17"/>
  <c r="CS22" i="17"/>
  <c r="CS15" i="17"/>
  <c r="CS12" i="17"/>
  <c r="CS19" i="17"/>
  <c r="CS16" i="17"/>
  <c r="CS14" i="17"/>
  <c r="CT7" i="17"/>
  <c r="CT23" i="17" s="1"/>
  <c r="CS9" i="17"/>
  <c r="CS11" i="17"/>
  <c r="CT25" i="17" l="1"/>
  <c r="CT26" i="17"/>
  <c r="CT24" i="17"/>
  <c r="CT13" i="17"/>
  <c r="CT20" i="17"/>
  <c r="CT17" i="17"/>
  <c r="CT14" i="17"/>
  <c r="CT18" i="17"/>
  <c r="CT15" i="17"/>
  <c r="CT22" i="17"/>
  <c r="CT12" i="17"/>
  <c r="CT16" i="17"/>
  <c r="CT21" i="17"/>
  <c r="CT19" i="17"/>
  <c r="CU7" i="17"/>
  <c r="CU23" i="17" s="1"/>
  <c r="CT9" i="17"/>
  <c r="CT11" i="17"/>
  <c r="CU24" i="17" l="1"/>
  <c r="CU25" i="17"/>
  <c r="CU26" i="17"/>
  <c r="CU16" i="17"/>
  <c r="CU13" i="17"/>
  <c r="CU20" i="17"/>
  <c r="CU14" i="17"/>
  <c r="CU21" i="17"/>
  <c r="CU18" i="17"/>
  <c r="CU15" i="17"/>
  <c r="CU22" i="17"/>
  <c r="CU12" i="17"/>
  <c r="CU17" i="17"/>
  <c r="CU19" i="17"/>
  <c r="CV7" i="17"/>
  <c r="CV23" i="17" s="1"/>
  <c r="CU11" i="17"/>
  <c r="CU9" i="17"/>
  <c r="CV25" i="17" l="1"/>
  <c r="CV26" i="17"/>
  <c r="CV24" i="17"/>
  <c r="CV16" i="17"/>
  <c r="CV13" i="17"/>
  <c r="CV20" i="17"/>
  <c r="CV14" i="17"/>
  <c r="CV21" i="17"/>
  <c r="CV18" i="17"/>
  <c r="CV15" i="17"/>
  <c r="CV22" i="17"/>
  <c r="CV19" i="17"/>
  <c r="CV12" i="17"/>
  <c r="CV17" i="17"/>
  <c r="CW7" i="17"/>
  <c r="CW23" i="17" s="1"/>
  <c r="CV9" i="17"/>
  <c r="CV11" i="17"/>
  <c r="CW25" i="17" l="1"/>
  <c r="CW24" i="17"/>
  <c r="CW26" i="17"/>
  <c r="CW20" i="17"/>
  <c r="CW16" i="17"/>
  <c r="CW13" i="17"/>
  <c r="CW17" i="17"/>
  <c r="CW14" i="17"/>
  <c r="CW21" i="17"/>
  <c r="CW18" i="17"/>
  <c r="CW15" i="17"/>
  <c r="CW19" i="17"/>
  <c r="CW12" i="17"/>
  <c r="CW22" i="17"/>
  <c r="CX7" i="17"/>
  <c r="CX23" i="17" s="1"/>
  <c r="CW9" i="17"/>
  <c r="CW11" i="17"/>
  <c r="CX26" i="17" l="1"/>
  <c r="CX25" i="17"/>
  <c r="CX24" i="17"/>
  <c r="CX19" i="17"/>
  <c r="CX16" i="17"/>
  <c r="CX13" i="17"/>
  <c r="CX14" i="17"/>
  <c r="CX21" i="17"/>
  <c r="CX18" i="17"/>
  <c r="CX12" i="17"/>
  <c r="CX15" i="17"/>
  <c r="CX20" i="17"/>
  <c r="CX17" i="17"/>
  <c r="CX22" i="17"/>
  <c r="CY7" i="17"/>
  <c r="CY23" i="17" s="1"/>
  <c r="CX11" i="17"/>
  <c r="CX9" i="17"/>
  <c r="CY25" i="17" l="1"/>
  <c r="CY24" i="17"/>
  <c r="CY26" i="17"/>
  <c r="CY12" i="17"/>
  <c r="CY19" i="17"/>
  <c r="CY16" i="17"/>
  <c r="CY17" i="17"/>
  <c r="CY14" i="17"/>
  <c r="CY21" i="17"/>
  <c r="CY18" i="17"/>
  <c r="CY13" i="17"/>
  <c r="CY15" i="17"/>
  <c r="CY20" i="17"/>
  <c r="CY22" i="17"/>
  <c r="CY11" i="17"/>
  <c r="CZ7" i="17"/>
  <c r="CZ23" i="17" s="1"/>
  <c r="CY9" i="17"/>
  <c r="CZ24" i="17" l="1"/>
  <c r="CZ26" i="17"/>
  <c r="CZ25" i="17"/>
  <c r="CZ12" i="17"/>
  <c r="CZ19" i="17"/>
  <c r="CZ16" i="17"/>
  <c r="CZ20" i="17"/>
  <c r="CZ17" i="17"/>
  <c r="CZ14" i="17"/>
  <c r="CZ21" i="17"/>
  <c r="CZ18" i="17"/>
  <c r="CZ15" i="17"/>
  <c r="CZ13" i="17"/>
  <c r="CZ22" i="17"/>
  <c r="CZ11" i="17"/>
  <c r="DA7" i="17"/>
  <c r="DA23" i="17" s="1"/>
  <c r="CZ9" i="17"/>
  <c r="DA24" i="17" l="1"/>
  <c r="DA25" i="17"/>
  <c r="DA26" i="17"/>
  <c r="DA22" i="17"/>
  <c r="DA12" i="17"/>
  <c r="DA19" i="17"/>
  <c r="DA16" i="17"/>
  <c r="DA13" i="17"/>
  <c r="DA17" i="17"/>
  <c r="DA14" i="17"/>
  <c r="DA21" i="17"/>
  <c r="DA15" i="17"/>
  <c r="DA20" i="17"/>
  <c r="DA18" i="17"/>
  <c r="DA11" i="17"/>
  <c r="DB7" i="17"/>
  <c r="DB23" i="17" s="1"/>
  <c r="DA9" i="17"/>
  <c r="DB24" i="17" l="1"/>
  <c r="DB25" i="17"/>
  <c r="DB26" i="17"/>
  <c r="DB15" i="17"/>
  <c r="DB22" i="17"/>
  <c r="DB12" i="17"/>
  <c r="DB19" i="17"/>
  <c r="DB13" i="17"/>
  <c r="DB20" i="17"/>
  <c r="DB17" i="17"/>
  <c r="DB14" i="17"/>
  <c r="DB21" i="17"/>
  <c r="DB16" i="17"/>
  <c r="DB18" i="17"/>
  <c r="DB6" i="17"/>
  <c r="DB11" i="17"/>
  <c r="DC7" i="17"/>
  <c r="DC23" i="17" s="1"/>
  <c r="DB9" i="17"/>
  <c r="DC25" i="17" l="1"/>
  <c r="DC24" i="17"/>
  <c r="DC26" i="17"/>
  <c r="DC15" i="17"/>
  <c r="DC22" i="17"/>
  <c r="DC12" i="17"/>
  <c r="DC19" i="17"/>
  <c r="DC13" i="17"/>
  <c r="DC20" i="17"/>
  <c r="DC17" i="17"/>
  <c r="DC14" i="17"/>
  <c r="DC21" i="17"/>
  <c r="DC16" i="17"/>
  <c r="DC18" i="17"/>
  <c r="DC9" i="17"/>
  <c r="DC11" i="17"/>
  <c r="DD7" i="17"/>
  <c r="DD23" i="17" s="1"/>
  <c r="DD24" i="17" l="1"/>
  <c r="DD26" i="17"/>
  <c r="DD25" i="17"/>
  <c r="DD19" i="17"/>
  <c r="DD15" i="17"/>
  <c r="DD22" i="17"/>
  <c r="DD12" i="17"/>
  <c r="DD16" i="17"/>
  <c r="DD13" i="17"/>
  <c r="DD20" i="17"/>
  <c r="DD17" i="17"/>
  <c r="DD14" i="17"/>
  <c r="DD21" i="17"/>
  <c r="DD18" i="17"/>
  <c r="DD11" i="17"/>
  <c r="DE7" i="17"/>
  <c r="DE23" i="17" s="1"/>
  <c r="DD9" i="17"/>
  <c r="DE24" i="17" l="1"/>
  <c r="DE25" i="17"/>
  <c r="DE26" i="17"/>
  <c r="DE18" i="17"/>
  <c r="DE12" i="17"/>
  <c r="DE15" i="17"/>
  <c r="DE22" i="17"/>
  <c r="DE13" i="17"/>
  <c r="DE20" i="17"/>
  <c r="DE17" i="17"/>
  <c r="DF7" i="17"/>
  <c r="DF23" i="17" s="1"/>
  <c r="DE19" i="17"/>
  <c r="DE14" i="17"/>
  <c r="DE16" i="17"/>
  <c r="DE21" i="17"/>
  <c r="DE11" i="17"/>
  <c r="DE9" i="17"/>
  <c r="DF24" i="17" l="1"/>
  <c r="DF26" i="17"/>
  <c r="DF25" i="17"/>
  <c r="DF9" i="17"/>
  <c r="DF18" i="17"/>
  <c r="DF15" i="17"/>
  <c r="DF22" i="17"/>
  <c r="DF16" i="17"/>
  <c r="DF13" i="17"/>
  <c r="DF20" i="17"/>
  <c r="DF17" i="17"/>
  <c r="DF14" i="17"/>
  <c r="DF12" i="17"/>
  <c r="DF19" i="17"/>
  <c r="DF21" i="17"/>
  <c r="DF11" i="17"/>
</calcChain>
</file>

<file path=xl/sharedStrings.xml><?xml version="1.0" encoding="utf-8"?>
<sst xmlns="http://schemas.openxmlformats.org/spreadsheetml/2006/main" count="45" uniqueCount="30">
  <si>
    <t>Category</t>
  </si>
  <si>
    <t>Milestone</t>
  </si>
  <si>
    <t>Low Risk</t>
  </si>
  <si>
    <t>Med Risk</t>
  </si>
  <si>
    <t>On Track</t>
  </si>
  <si>
    <t>Definição do problema e objetivos do AquaSense</t>
  </si>
  <si>
    <t>Requisitos, sensores/atuadores e tecnologias</t>
  </si>
  <si>
    <t>Desenho da infraestrutura computacional + esboço físico</t>
  </si>
  <si>
    <t>Milestone 1</t>
  </si>
  <si>
    <t>Milestone 2</t>
  </si>
  <si>
    <t>Montagem inicial do hardware (ESP32, fita LED, ventoinha, LDR, temp, pH)</t>
  </si>
  <si>
    <t>Programação base do ESP32 (sensores, PWM da luz, ventoinha)</t>
  </si>
  <si>
    <t>Descricão</t>
  </si>
  <si>
    <t>Backend em PHP + REST + ligação MySQL (versão inicial)</t>
  </si>
  <si>
    <t>Protótipo funcional integrado (hardware + backend + BD)</t>
  </si>
  <si>
    <t>Estrutura final da base de dados + API definitiva</t>
  </si>
  <si>
    <t>Recolha de dados, limpeza e preparação para IA</t>
  </si>
  <si>
    <t>Modelo de IA para previsão de consumo energético</t>
  </si>
  <si>
    <t>Plano e validação de testes (Engenharia de Software)</t>
  </si>
  <si>
    <t>Integração final, ajustes e otimizações</t>
  </si>
  <si>
    <t>Relatório final, slides, vídeo, poster e ensaio da apresentação</t>
  </si>
  <si>
    <t>Milestone 3</t>
  </si>
  <si>
    <t>Ínicio</t>
  </si>
  <si>
    <t>Fim</t>
  </si>
  <si>
    <t>Nº Dias</t>
  </si>
  <si>
    <t>PROJECT: Aquase Sense</t>
  </si>
  <si>
    <t>Datas</t>
  </si>
  <si>
    <t>Data de ínicio: 28/10/2025</t>
  </si>
  <si>
    <t>Data de fim: 06/02/2026</t>
  </si>
  <si>
    <t>Legenda: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</si>
</sst>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d"/>
  </numFmts>
  <fonts count="24"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4"/>
      <name val="Calibri"/>
      <family val="2"/>
      <scheme val="minor"/>
    </font>
    <font>
      <b/>
      <sz val="11"/>
      <color theme="0"/>
      <name val="Calibri"/>
      <family val="2"/>
      <scheme val="minor"/>
    </font>
    <font>
      <b/>
      <sz val="20"/>
      <name val="Calibri"/>
      <family val="2"/>
      <scheme val="major"/>
    </font>
    <font>
      <b/>
      <sz val="22"/>
      <name val="Calibri"/>
      <family val="2"/>
      <scheme val="major"/>
    </font>
    <font>
      <b/>
      <sz val="16"/>
      <name val="Calibri"/>
      <family val="2"/>
      <scheme val="minor"/>
    </font>
    <font>
      <b/>
      <sz val="26"/>
      <name val="Calibri"/>
      <family val="2"/>
      <scheme val="major"/>
    </font>
    <font>
      <b/>
      <sz val="16"/>
      <name val="Calibri"/>
      <family val="2"/>
      <scheme val="major"/>
    </font>
    <font>
      <b/>
      <sz val="14"/>
      <color theme="8" tint="-0.499984740745262"/>
      <name val="Calibri"/>
      <family val="2"/>
      <scheme val="minor"/>
    </font>
    <font>
      <sz val="10"/>
      <color theme="1"/>
      <name val="Calibri"/>
      <family val="2"/>
      <scheme val="minor"/>
    </font>
    <font>
      <sz val="8"/>
      <name val="Calibri"/>
      <family val="2"/>
      <scheme val="minor"/>
    </font>
    <font>
      <sz val="11"/>
      <color rgb="FF33CC33"/>
      <name val="Calibri"/>
      <family val="2"/>
      <scheme val="minor"/>
    </font>
    <font>
      <b/>
      <sz val="14"/>
      <color rgb="FFFFFFFF"/>
      <name val="Calibri"/>
      <family val="2"/>
      <scheme val="minor"/>
    </font>
    <font>
      <sz val="11"/>
      <color rgb="FF000000"/>
      <name val="Calibri"/>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969696"/>
        <bgColor indexed="64"/>
      </patternFill>
    </fill>
    <fill>
      <patternFill patternType="solid">
        <fgColor rgb="FF20A472"/>
        <bgColor rgb="FF000000"/>
      </patternFill>
    </fill>
    <fill>
      <patternFill patternType="solid">
        <fgColor rgb="FF00B0F0"/>
        <bgColor rgb="FF000000"/>
      </patternFill>
    </fill>
    <fill>
      <patternFill patternType="solid">
        <fgColor rgb="FF4868E5"/>
        <bgColor rgb="FF000000"/>
      </patternFill>
    </fill>
  </fills>
  <borders count="1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s>
  <cellStyleXfs count="11">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7"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cellStyleXfs>
  <cellXfs count="64">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3"/>
    <xf numFmtId="0" fontId="7" fillId="0" borderId="0" xfId="3" applyAlignment="1">
      <alignment wrapText="1"/>
    </xf>
    <xf numFmtId="0" fontId="7" fillId="0" borderId="0" xfId="0" applyFont="1" applyAlignment="1">
      <alignment horizontal="center"/>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6" xfId="0" applyBorder="1" applyAlignment="1">
      <alignment vertical="center"/>
    </xf>
    <xf numFmtId="0" fontId="3" fillId="0" borderId="0" xfId="0" applyFont="1" applyAlignment="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2" borderId="0" xfId="0" applyFont="1" applyFill="1"/>
    <xf numFmtId="0" fontId="14" fillId="0" borderId="0" xfId="5" applyFont="1" applyFill="1" applyBorder="1" applyAlignment="1">
      <alignment horizontal="left" vertical="center"/>
    </xf>
    <xf numFmtId="0" fontId="13" fillId="0" borderId="0" xfId="0" applyFont="1" applyAlignment="1">
      <alignment horizontal="left" vertical="center"/>
    </xf>
    <xf numFmtId="0" fontId="3" fillId="0" borderId="0" xfId="0" applyFont="1" applyAlignment="1">
      <alignment vertical="center"/>
    </xf>
    <xf numFmtId="0" fontId="11" fillId="0" borderId="0" xfId="0" applyFont="1" applyAlignment="1">
      <alignment horizontal="center" vertical="center"/>
    </xf>
    <xf numFmtId="0" fontId="15" fillId="0" borderId="0" xfId="6" applyFont="1" applyFill="1" applyAlignment="1">
      <alignment horizontal="left" vertical="center" indent="2"/>
    </xf>
    <xf numFmtId="0" fontId="11"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14" fontId="3" fillId="0" borderId="0" xfId="9" applyFont="1" applyFill="1" applyBorder="1" applyAlignment="1">
      <alignment horizontal="left" vertical="center"/>
    </xf>
    <xf numFmtId="0" fontId="3" fillId="0" borderId="0" xfId="0" applyFont="1" applyAlignment="1">
      <alignment horizontal="left" vertical="center"/>
    </xf>
    <xf numFmtId="0" fontId="3" fillId="0" borderId="3" xfId="0" applyFont="1" applyBorder="1"/>
    <xf numFmtId="0" fontId="11" fillId="0" borderId="0" xfId="0" applyFont="1" applyAlignment="1">
      <alignment vertical="center"/>
    </xf>
    <xf numFmtId="0" fontId="8" fillId="0" borderId="3" xfId="0" applyFont="1" applyBorder="1" applyAlignment="1">
      <alignment horizontal="center" vertical="center" wrapText="1"/>
    </xf>
    <xf numFmtId="0" fontId="15" fillId="0" borderId="9" xfId="0" applyFont="1" applyBorder="1" applyAlignment="1">
      <alignment vertical="center"/>
    </xf>
    <xf numFmtId="165" fontId="1" fillId="4" borderId="7" xfId="0" applyNumberFormat="1" applyFont="1" applyFill="1" applyBorder="1" applyAlignment="1">
      <alignment horizontal="center" vertical="center"/>
    </xf>
    <xf numFmtId="165" fontId="1" fillId="4" borderId="5" xfId="0" applyNumberFormat="1" applyFont="1" applyFill="1" applyBorder="1" applyAlignment="1">
      <alignment horizontal="center" vertical="center"/>
    </xf>
    <xf numFmtId="165" fontId="1" fillId="4" borderId="8" xfId="0" applyNumberFormat="1" applyFont="1" applyFill="1" applyBorder="1" applyAlignment="1">
      <alignment horizontal="center" vertical="center"/>
    </xf>
    <xf numFmtId="165" fontId="1" fillId="4" borderId="2" xfId="0" applyNumberFormat="1" applyFont="1" applyFill="1" applyBorder="1" applyAlignment="1">
      <alignment horizontal="center" vertical="center"/>
    </xf>
    <xf numFmtId="165" fontId="1" fillId="4" borderId="0" xfId="0" applyNumberFormat="1" applyFont="1" applyFill="1" applyAlignment="1">
      <alignment horizontal="center" vertical="center"/>
    </xf>
    <xf numFmtId="165" fontId="1" fillId="4" borderId="10" xfId="0" applyNumberFormat="1" applyFont="1" applyFill="1" applyBorder="1" applyAlignment="1">
      <alignment horizontal="center" vertical="center"/>
    </xf>
    <xf numFmtId="165" fontId="1" fillId="4" borderId="11" xfId="0" applyNumberFormat="1" applyFont="1" applyFill="1" applyBorder="1" applyAlignment="1">
      <alignment horizontal="center" vertical="center"/>
    </xf>
    <xf numFmtId="0" fontId="1" fillId="4" borderId="1" xfId="0" applyFont="1" applyFill="1" applyBorder="1" applyAlignment="1">
      <alignment horizontal="center" vertical="center" shrinkToFit="1"/>
    </xf>
    <xf numFmtId="0" fontId="12" fillId="3" borderId="0" xfId="0" applyFont="1" applyFill="1" applyAlignment="1">
      <alignment horizontal="left" vertical="center" indent="1"/>
    </xf>
    <xf numFmtId="0" fontId="12" fillId="3" borderId="0" xfId="0" applyFont="1" applyFill="1" applyAlignment="1">
      <alignment horizontal="center" vertical="center" wrapText="1"/>
    </xf>
    <xf numFmtId="0" fontId="18" fillId="0" borderId="0" xfId="0" applyFont="1" applyAlignment="1">
      <alignment horizontal="left" vertical="center" wrapText="1"/>
    </xf>
    <xf numFmtId="0" fontId="0" fillId="0" borderId="0" xfId="0" applyAlignment="1">
      <alignment horizontal="left" vertical="center" wrapText="1" indent="1"/>
    </xf>
    <xf numFmtId="0" fontId="17" fillId="0" borderId="0" xfId="5" applyFont="1" applyFill="1" applyAlignment="1">
      <alignment horizontal="left" vertical="center" indent="2"/>
    </xf>
    <xf numFmtId="0" fontId="15" fillId="5" borderId="9" xfId="0" applyFont="1" applyFill="1" applyBorder="1" applyAlignment="1">
      <alignment vertical="center"/>
    </xf>
    <xf numFmtId="14" fontId="0" fillId="0" borderId="0" xfId="9" applyFont="1">
      <alignment horizontal="center" vertical="center"/>
    </xf>
    <xf numFmtId="37" fontId="0" fillId="0" borderId="0" xfId="10" applyFont="1">
      <alignment horizontal="center" vertical="center"/>
    </xf>
    <xf numFmtId="0" fontId="11" fillId="0" borderId="0" xfId="8" applyFont="1" applyFill="1" applyAlignment="1">
      <alignment horizontal="left" vertical="center" indent="2"/>
    </xf>
    <xf numFmtId="165" fontId="19" fillId="4" borderId="5" xfId="0" applyNumberFormat="1" applyFont="1" applyFill="1" applyBorder="1" applyAlignment="1">
      <alignment horizontal="center" vertical="center"/>
    </xf>
    <xf numFmtId="0" fontId="15" fillId="2" borderId="0" xfId="0" applyFont="1" applyFill="1" applyAlignment="1">
      <alignment vertical="center"/>
    </xf>
    <xf numFmtId="0" fontId="3" fillId="0" borderId="0" xfId="0" applyFont="1" applyAlignment="1">
      <alignment horizontal="left"/>
    </xf>
    <xf numFmtId="0" fontId="17" fillId="0" borderId="0" xfId="5" applyFont="1" applyFill="1" applyAlignment="1">
      <alignment vertical="center"/>
    </xf>
    <xf numFmtId="0" fontId="21" fillId="0" borderId="0" xfId="0" applyFont="1" applyAlignment="1">
      <alignment horizontal="left"/>
    </xf>
    <xf numFmtId="0" fontId="3" fillId="0" borderId="0" xfId="0" applyFont="1" applyAlignment="1">
      <alignment horizontal="right" vertical="center"/>
    </xf>
    <xf numFmtId="0" fontId="23" fillId="0" borderId="0" xfId="0" applyFont="1"/>
    <xf numFmtId="0" fontId="10" fillId="0" borderId="0" xfId="0" applyFont="1" applyAlignment="1">
      <alignment horizontal="center" vertical="center"/>
    </xf>
    <xf numFmtId="0" fontId="9" fillId="0" borderId="0" xfId="0" applyFont="1" applyAlignment="1">
      <alignment horizontal="center" vertical="center"/>
    </xf>
    <xf numFmtId="0" fontId="16" fillId="2" borderId="0" xfId="5" applyFont="1" applyFill="1" applyAlignment="1">
      <alignment horizontal="left" vertical="center" indent="1"/>
    </xf>
    <xf numFmtId="0" fontId="11" fillId="2" borderId="0" xfId="0" applyFont="1" applyFill="1" applyAlignment="1">
      <alignment horizontal="center" vertical="center"/>
    </xf>
    <xf numFmtId="0" fontId="3" fillId="2" borderId="0" xfId="0" applyFont="1" applyFill="1" applyAlignment="1">
      <alignment horizontal="center" vertical="center"/>
    </xf>
    <xf numFmtId="0" fontId="22" fillId="6" borderId="0" xfId="0" applyFont="1" applyFill="1" applyAlignment="1">
      <alignment horizontal="center" vertical="center"/>
    </xf>
    <xf numFmtId="0" fontId="9" fillId="7" borderId="0" xfId="0" applyFont="1" applyFill="1" applyAlignment="1">
      <alignment horizontal="center" vertical="center"/>
    </xf>
    <xf numFmtId="0" fontId="22" fillId="8" borderId="0" xfId="0" applyFont="1" applyFill="1" applyAlignment="1">
      <alignment horizontal="center" vertical="center"/>
    </xf>
  </cellXfs>
  <cellStyles count="11">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44">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0.14996795556505021"/>
        </patternFill>
      </fill>
      <border>
        <left/>
        <right/>
        <top/>
        <bottom style="thin">
          <color theme="0" tint="-0.34998626667073579"/>
        </bottom>
      </border>
    </dxf>
    <dxf>
      <font>
        <strike val="0"/>
        <outline val="0"/>
        <shadow val="0"/>
        <u val="none"/>
        <vertAlign val="baseline"/>
        <sz val="11"/>
        <name val="Calibri"/>
        <family val="2"/>
        <scheme val="minor"/>
      </font>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43"/>
      <tableStyleElement type="headerRow" dxfId="42"/>
      <tableStyleElement type="firstRowStripe" dxfId="41"/>
      <tableStyleElement type="secondRowStripe" dxfId="40"/>
    </tableStyle>
    <tableStyle name="ToDoList" pivot="0" count="9" xr9:uid="{00000000-0011-0000-FFFF-FFFF00000000}">
      <tableStyleElement type="wholeTable" dxfId="39"/>
      <tableStyleElement type="headerRow" dxfId="38"/>
      <tableStyleElement type="totalRow" dxfId="37"/>
      <tableStyleElement type="firstColumn" dxfId="36"/>
      <tableStyleElement type="lastColumn" dxfId="35"/>
      <tableStyleElement type="firstRowStripe" dxfId="34"/>
      <tableStyleElement type="secondRowStripe" dxfId="33"/>
      <tableStyleElement type="firstColumnStripe" dxfId="32"/>
      <tableStyleElement type="secondColumnStripe" dxfId="3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33CC33"/>
      <color rgb="FF969696"/>
      <color rgb="FF000000"/>
      <color rgb="FF215881"/>
      <color rgb="FF42648A"/>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F26" totalsRowShown="0" headerRowDxfId="30" dataDxfId="29">
  <autoFilter ref="B9:F26" xr:uid="{29E5A880-80D5-4B65-B5FB-8FB3913D3D27}">
    <filterColumn colId="0" hiddenButton="1"/>
    <filterColumn colId="1" hiddenButton="1"/>
    <filterColumn colId="2" hiddenButton="1"/>
    <filterColumn colId="3" hiddenButton="1"/>
    <filterColumn colId="4" hiddenButton="1"/>
  </autoFilter>
  <tableColumns count="5">
    <tableColumn id="1" xr3:uid="{619BF8F6-D0F1-41AD-871D-FE0240C45A93}" name="Descricão" dataDxfId="28"/>
    <tableColumn id="2" xr3:uid="{39BD914E-FB02-4352-846C-6D59624DC0B0}" name="Category" dataDxfId="27"/>
    <tableColumn id="5" xr3:uid="{02926609-7B93-4B6F-BE96-92EC7A949E4B}" name="Ínicio" dataDxfId="26" dataCellStyle="Date"/>
    <tableColumn id="3" xr3:uid="{B0252786-6F02-4471-BB04-C8505FE08EA2}" name="Fim" dataDxfId="25" dataCellStyle="Date">
      <calculatedColumnFormula>Milestones4352[[#This Row],[Ínicio]]+Milestones4352[[#This Row],[Nº Dias]]-1</calculatedColumnFormula>
    </tableColumn>
    <tableColumn id="6" xr3:uid="{8FF9BE8E-04B7-4B39-AC27-D2E534204BC3}" name="Nº Dias" dataDxfId="24"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DF27"/>
  <sheetViews>
    <sheetView showGridLines="0" tabSelected="1" showRuler="0" zoomScale="40" zoomScaleNormal="40" zoomScalePageLayoutView="70" workbookViewId="0">
      <selection activeCell="DI6" sqref="DI6"/>
    </sheetView>
  </sheetViews>
  <sheetFormatPr defaultColWidth="8.81640625" defaultRowHeight="30" customHeight="1" x14ac:dyDescent="0.35"/>
  <cols>
    <col min="1" max="1" width="4.7265625" style="4" customWidth="1"/>
    <col min="2" max="2" width="70.54296875" bestFit="1" customWidth="1"/>
    <col min="3" max="3" width="13.26953125" hidden="1" customWidth="1"/>
    <col min="4" max="4" width="15.453125" style="2" customWidth="1"/>
    <col min="5" max="5" width="18.90625" style="2" customWidth="1"/>
    <col min="6" max="6" width="10.453125" customWidth="1"/>
    <col min="7" max="7" width="2.7265625" customWidth="1"/>
    <col min="8" max="10" width="3.54296875" customWidth="1"/>
    <col min="11" max="11" width="11.54296875" customWidth="1"/>
    <col min="12" max="15" width="3.54296875" customWidth="1"/>
    <col min="16" max="16" width="9" customWidth="1"/>
    <col min="17" max="19" width="3.54296875" customWidth="1"/>
    <col min="20" max="20" width="3.08984375" customWidth="1"/>
    <col min="21" max="21" width="7.1796875" customWidth="1"/>
    <col min="22" max="109" width="3.54296875" customWidth="1"/>
    <col min="110" max="110" width="4.26953125" customWidth="1"/>
  </cols>
  <sheetData>
    <row r="1" spans="1:110" ht="25.15" customHeight="1" x14ac:dyDescent="0.35"/>
    <row r="2" spans="1:110" ht="49.9" customHeight="1" x14ac:dyDescent="0.35">
      <c r="A2" s="5"/>
      <c r="B2" s="58" t="s">
        <v>25</v>
      </c>
      <c r="C2" s="58"/>
      <c r="D2" s="58"/>
      <c r="E2" s="58"/>
      <c r="F2" s="58"/>
      <c r="G2" s="58"/>
      <c r="H2" s="59"/>
      <c r="I2" s="59"/>
      <c r="J2" s="59"/>
      <c r="K2" s="59"/>
      <c r="L2" s="59"/>
      <c r="M2" s="59"/>
      <c r="N2" s="60"/>
      <c r="O2" s="60"/>
      <c r="P2" s="60"/>
      <c r="Q2" s="60"/>
      <c r="R2" s="60"/>
      <c r="S2" s="60"/>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row>
    <row r="3" spans="1:110" ht="19.899999999999999" customHeight="1" x14ac:dyDescent="0.35">
      <c r="A3" s="5"/>
      <c r="B3" s="17"/>
      <c r="C3" s="18"/>
      <c r="D3" s="20"/>
      <c r="E3" s="20"/>
      <c r="F3" s="19"/>
      <c r="G3" s="19"/>
      <c r="H3" s="29"/>
      <c r="I3" s="1"/>
      <c r="J3" s="1"/>
      <c r="K3" s="1"/>
    </row>
    <row r="4" spans="1:110" ht="30" customHeight="1" x14ac:dyDescent="0.35">
      <c r="A4" s="5"/>
      <c r="B4" s="21"/>
      <c r="C4" s="22"/>
      <c r="D4" s="52"/>
      <c r="E4" s="25"/>
      <c r="F4" s="54" t="s">
        <v>29</v>
      </c>
      <c r="G4" s="24"/>
      <c r="H4" s="61" t="s">
        <v>8</v>
      </c>
      <c r="I4" s="61"/>
      <c r="J4" s="61"/>
      <c r="K4" s="61"/>
      <c r="L4" s="55"/>
      <c r="M4" s="62" t="s">
        <v>9</v>
      </c>
      <c r="N4" s="62"/>
      <c r="O4" s="62"/>
      <c r="P4" s="62"/>
      <c r="Q4" s="55"/>
      <c r="R4" s="63" t="s">
        <v>21</v>
      </c>
      <c r="S4" s="63"/>
      <c r="T4" s="63"/>
      <c r="U4" s="63"/>
      <c r="W4" s="56"/>
      <c r="X4" s="56"/>
      <c r="Y4" s="56"/>
      <c r="Z4" s="56"/>
      <c r="AB4" s="57"/>
      <c r="AC4" s="57"/>
      <c r="AD4" s="57"/>
      <c r="AE4" s="57"/>
    </row>
    <row r="5" spans="1:110" ht="30" customHeight="1" x14ac:dyDescent="0.35">
      <c r="A5" s="5"/>
      <c r="B5" s="44" t="s">
        <v>26</v>
      </c>
      <c r="C5" s="23"/>
      <c r="D5" s="53"/>
      <c r="E5" s="25"/>
      <c r="F5" s="24"/>
      <c r="G5" s="24"/>
    </row>
    <row r="6" spans="1:110" ht="30" customHeight="1" x14ac:dyDescent="0.35">
      <c r="A6" s="5"/>
      <c r="B6" s="48" t="s">
        <v>27</v>
      </c>
      <c r="C6" s="26">
        <v>45958</v>
      </c>
      <c r="D6" s="51"/>
      <c r="E6" s="25"/>
      <c r="F6" s="24"/>
      <c r="G6" s="24"/>
      <c r="H6" s="31" t="str">
        <f>TEXT(H7,"mmmm")</f>
        <v>outubro</v>
      </c>
      <c r="I6" s="31"/>
      <c r="J6" s="31"/>
      <c r="K6" s="31"/>
      <c r="L6" s="31"/>
      <c r="M6" s="31"/>
      <c r="N6" s="31"/>
      <c r="O6" s="31" t="str">
        <f>IF(TEXT(O7,"mmmm")=H6,"",TEXT(O7,"mmmm"))</f>
        <v>novembro</v>
      </c>
      <c r="P6" s="31"/>
      <c r="Q6" s="31"/>
      <c r="R6" s="31"/>
      <c r="S6" s="31"/>
      <c r="T6" s="31"/>
      <c r="U6" s="31"/>
      <c r="V6" s="31" t="str">
        <f>IF(OR(TEXT(V7,"mmmm")=O6,TEXT(V7,"mmmm")=H6),"",TEXT(V7,"mmmm"))</f>
        <v/>
      </c>
      <c r="W6" s="31"/>
      <c r="X6" s="31"/>
      <c r="Y6" s="31"/>
      <c r="Z6" s="31"/>
      <c r="AA6" s="31"/>
      <c r="AB6" s="31"/>
      <c r="AC6" s="31" t="str">
        <f>IF(OR(TEXT(AC7,"mmmm")=V6,TEXT(AC7,"mmmm")=O6,TEXT(AC7,"mmmm")=H6),"",TEXT(AC7,"mmmm"))</f>
        <v/>
      </c>
      <c r="AD6" s="31"/>
      <c r="AE6" s="31"/>
      <c r="AF6" s="31"/>
      <c r="AG6" s="31"/>
      <c r="AH6" s="31"/>
      <c r="AI6" s="31"/>
      <c r="AJ6" s="31" t="str">
        <f>IF(OR(TEXT(AJ7,"mmmm")=AC6,TEXT(AJ7,"mmmm")=V6,TEXT(AJ7,"mmmm")=O6,TEXT(AJ7,"mmmm")=H6),"",TEXT(AJ7,"mmmm"))</f>
        <v/>
      </c>
      <c r="AK6" s="31"/>
      <c r="AL6" s="31"/>
      <c r="AM6" s="31"/>
      <c r="AN6" s="31"/>
      <c r="AO6" s="31"/>
      <c r="AP6" s="31"/>
      <c r="AQ6" s="31" t="str">
        <f>IF(OR(TEXT(AQ7,"mmmm")=AJ6,TEXT(AQ7,"mmmm")=AC6,TEXT(AQ7,"mmmm")=V6,TEXT(AQ7,"mmmm")=O6),"",TEXT(AQ7,"mmmm"))</f>
        <v>dezembro</v>
      </c>
      <c r="AR6" s="31"/>
      <c r="AS6" s="31"/>
      <c r="AT6" s="31"/>
      <c r="AU6" s="31"/>
      <c r="AV6" s="31"/>
      <c r="AW6" s="31"/>
      <c r="AX6" s="31" t="str">
        <f>IF(OR(TEXT(AX7,"mmmm")=AQ6,TEXT(AX7,"mmmm")=AJ6,TEXT(AX7,"mmmm")=AC6,TEXT(AX7,"mmmm")=V6),"",TEXT(AX7,"mmmm"))</f>
        <v/>
      </c>
      <c r="AY6" s="31"/>
      <c r="AZ6" s="31"/>
      <c r="BA6" s="31"/>
      <c r="BB6" s="31"/>
      <c r="BC6" s="31"/>
      <c r="BD6" s="31"/>
      <c r="BE6" s="31" t="str">
        <f>IF(OR(TEXT(BE7,"mmmm")=AX6,TEXT(BE7,"mmmm")=AQ6,TEXT(BE7,"mmmm")=AJ6,TEXT(BE7,"mmmm")=AC6),"",TEXT(BE7,"mmmm"))</f>
        <v/>
      </c>
      <c r="BF6" s="31"/>
      <c r="BG6" s="31"/>
      <c r="BH6" s="31"/>
      <c r="BI6" s="31"/>
      <c r="BJ6" s="31"/>
      <c r="BK6" s="31"/>
      <c r="BL6" s="31"/>
      <c r="BM6" s="31"/>
      <c r="BN6" s="31"/>
      <c r="BO6" s="31"/>
      <c r="BP6" s="31"/>
      <c r="BQ6" s="31"/>
      <c r="BR6" s="31"/>
      <c r="BS6" s="31"/>
      <c r="BT6" s="31"/>
      <c r="BU6" s="16"/>
      <c r="BV6" s="16"/>
      <c r="BW6" s="16"/>
      <c r="BX6" s="50" t="str">
        <f>IF(TEXT(BX7,"mmmm")=BQ6,"",TEXT(BX7,"mmmm"))</f>
        <v>janeiro</v>
      </c>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45"/>
      <c r="DA6" s="45"/>
      <c r="DB6" s="45" t="str">
        <f>IF(TEXT(DB7,"mmmm")=CU6,"",TEXT(DB7,"mmmm"))</f>
        <v>fevereiro</v>
      </c>
      <c r="DC6" s="45"/>
      <c r="DD6" s="45"/>
      <c r="DE6" s="45"/>
      <c r="DF6" s="45"/>
    </row>
    <row r="7" spans="1:110" ht="30" customHeight="1" x14ac:dyDescent="0.35">
      <c r="A7" s="5"/>
      <c r="B7" s="48" t="s">
        <v>28</v>
      </c>
      <c r="C7" s="27">
        <v>0</v>
      </c>
      <c r="D7" s="51"/>
      <c r="E7" s="24"/>
      <c r="F7" s="24"/>
      <c r="G7" s="28"/>
      <c r="H7" s="32">
        <f>IFERROR(Project_Start+Scrolling_Increment,28/10/2025)</f>
        <v>45958</v>
      </c>
      <c r="I7" s="33">
        <f>H7+1</f>
        <v>45959</v>
      </c>
      <c r="J7" s="33">
        <f t="shared" ref="J7:AW7" si="0">I7+1</f>
        <v>45960</v>
      </c>
      <c r="K7" s="33">
        <f t="shared" si="0"/>
        <v>45961</v>
      </c>
      <c r="L7" s="33">
        <f t="shared" si="0"/>
        <v>45962</v>
      </c>
      <c r="M7" s="33">
        <f t="shared" si="0"/>
        <v>45963</v>
      </c>
      <c r="N7" s="34">
        <f t="shared" si="0"/>
        <v>45964</v>
      </c>
      <c r="O7" s="33">
        <f>N7+1</f>
        <v>45965</v>
      </c>
      <c r="P7" s="33">
        <f>O7+1</f>
        <v>45966</v>
      </c>
      <c r="Q7" s="33">
        <f t="shared" si="0"/>
        <v>45967</v>
      </c>
      <c r="R7" s="33">
        <f t="shared" si="0"/>
        <v>45968</v>
      </c>
      <c r="S7" s="33">
        <f t="shared" si="0"/>
        <v>45969</v>
      </c>
      <c r="T7" s="33">
        <f t="shared" si="0"/>
        <v>45970</v>
      </c>
      <c r="U7" s="34">
        <f t="shared" si="0"/>
        <v>45971</v>
      </c>
      <c r="V7" s="33">
        <f>U7+1</f>
        <v>45972</v>
      </c>
      <c r="W7" s="33">
        <f>V7+1</f>
        <v>45973</v>
      </c>
      <c r="X7" s="33">
        <f t="shared" si="0"/>
        <v>45974</v>
      </c>
      <c r="Y7" s="33">
        <f t="shared" si="0"/>
        <v>45975</v>
      </c>
      <c r="Z7" s="33">
        <f t="shared" si="0"/>
        <v>45976</v>
      </c>
      <c r="AA7" s="49">
        <f t="shared" si="0"/>
        <v>45977</v>
      </c>
      <c r="AB7" s="34">
        <f t="shared" si="0"/>
        <v>45978</v>
      </c>
      <c r="AC7" s="33">
        <f>AB7+1</f>
        <v>45979</v>
      </c>
      <c r="AD7" s="33">
        <f>AC7+1</f>
        <v>45980</v>
      </c>
      <c r="AE7" s="33">
        <f t="shared" si="0"/>
        <v>45981</v>
      </c>
      <c r="AF7" s="33">
        <f t="shared" si="0"/>
        <v>45982</v>
      </c>
      <c r="AG7" s="33">
        <f t="shared" si="0"/>
        <v>45983</v>
      </c>
      <c r="AH7" s="33">
        <f t="shared" si="0"/>
        <v>45984</v>
      </c>
      <c r="AI7" s="34">
        <f t="shared" si="0"/>
        <v>45985</v>
      </c>
      <c r="AJ7" s="33">
        <f>AI7+1</f>
        <v>45986</v>
      </c>
      <c r="AK7" s="33">
        <f>AJ7+1</f>
        <v>45987</v>
      </c>
      <c r="AL7" s="33">
        <f t="shared" si="0"/>
        <v>45988</v>
      </c>
      <c r="AM7" s="33">
        <f t="shared" si="0"/>
        <v>45989</v>
      </c>
      <c r="AN7" s="33">
        <f t="shared" si="0"/>
        <v>45990</v>
      </c>
      <c r="AO7" s="33">
        <f t="shared" si="0"/>
        <v>45991</v>
      </c>
      <c r="AP7" s="34">
        <f t="shared" si="0"/>
        <v>45992</v>
      </c>
      <c r="AQ7" s="33">
        <f>AP7+1</f>
        <v>45993</v>
      </c>
      <c r="AR7" s="33">
        <f>AQ7+1</f>
        <v>45994</v>
      </c>
      <c r="AS7" s="33">
        <f t="shared" si="0"/>
        <v>45995</v>
      </c>
      <c r="AT7" s="33">
        <f t="shared" si="0"/>
        <v>45996</v>
      </c>
      <c r="AU7" s="33">
        <f t="shared" si="0"/>
        <v>45997</v>
      </c>
      <c r="AV7" s="33">
        <f t="shared" si="0"/>
        <v>45998</v>
      </c>
      <c r="AW7" s="33">
        <f t="shared" si="0"/>
        <v>45999</v>
      </c>
      <c r="AX7" s="33">
        <f>AW7+1</f>
        <v>46000</v>
      </c>
      <c r="AY7" s="33">
        <f>AX7+1</f>
        <v>46001</v>
      </c>
      <c r="AZ7" s="33">
        <f t="shared" ref="AZ7:BD7" si="1">AY7+1</f>
        <v>46002</v>
      </c>
      <c r="BA7" s="33">
        <f t="shared" si="1"/>
        <v>46003</v>
      </c>
      <c r="BB7" s="33">
        <f t="shared" si="1"/>
        <v>46004</v>
      </c>
      <c r="BC7" s="33">
        <f t="shared" si="1"/>
        <v>46005</v>
      </c>
      <c r="BD7" s="33">
        <f t="shared" si="1"/>
        <v>46006</v>
      </c>
      <c r="BE7" s="33">
        <f>BD7+1</f>
        <v>46007</v>
      </c>
      <c r="BF7" s="33">
        <f>BE7+1</f>
        <v>46008</v>
      </c>
      <c r="BG7" s="33">
        <f t="shared" ref="BG7:BK7" si="2">BF7+1</f>
        <v>46009</v>
      </c>
      <c r="BH7" s="33">
        <f t="shared" si="2"/>
        <v>46010</v>
      </c>
      <c r="BI7" s="33">
        <f t="shared" si="2"/>
        <v>46011</v>
      </c>
      <c r="BJ7" s="33">
        <f t="shared" si="2"/>
        <v>46012</v>
      </c>
      <c r="BK7" s="33">
        <f t="shared" si="2"/>
        <v>46013</v>
      </c>
      <c r="BL7" s="33">
        <f t="shared" ref="BL7" si="3">BK7+1</f>
        <v>46014</v>
      </c>
      <c r="BM7" s="33">
        <f t="shared" ref="BM7" si="4">BL7+1</f>
        <v>46015</v>
      </c>
      <c r="BN7" s="33">
        <f t="shared" ref="BN7" si="5">BM7+1</f>
        <v>46016</v>
      </c>
      <c r="BO7" s="33">
        <f t="shared" ref="BO7" si="6">BN7+1</f>
        <v>46017</v>
      </c>
      <c r="BP7" s="33">
        <f t="shared" ref="BP7" si="7">BO7+1</f>
        <v>46018</v>
      </c>
      <c r="BQ7" s="33">
        <f t="shared" ref="BQ7" si="8">BP7+1</f>
        <v>46019</v>
      </c>
      <c r="BR7" s="33">
        <f t="shared" ref="BR7" si="9">BQ7+1</f>
        <v>46020</v>
      </c>
      <c r="BS7" s="33">
        <f t="shared" ref="BS7" si="10">BR7+1</f>
        <v>46021</v>
      </c>
      <c r="BT7" s="33">
        <f t="shared" ref="BT7" si="11">BS7+1</f>
        <v>46022</v>
      </c>
      <c r="BU7" s="33">
        <f t="shared" ref="BU7" si="12">BT7+1</f>
        <v>46023</v>
      </c>
      <c r="BV7" s="33">
        <f t="shared" ref="BV7" si="13">BU7+1</f>
        <v>46024</v>
      </c>
      <c r="BW7" s="33">
        <f t="shared" ref="BW7" si="14">BV7+1</f>
        <v>46025</v>
      </c>
      <c r="BX7" s="33">
        <f t="shared" ref="BX7" si="15">BW7+1</f>
        <v>46026</v>
      </c>
      <c r="BY7" s="33">
        <f t="shared" ref="BY7" si="16">BX7+1</f>
        <v>46027</v>
      </c>
      <c r="BZ7" s="33">
        <f t="shared" ref="BZ7" si="17">BY7+1</f>
        <v>46028</v>
      </c>
      <c r="CA7" s="33">
        <f t="shared" ref="CA7" si="18">BZ7+1</f>
        <v>46029</v>
      </c>
      <c r="CB7" s="33">
        <f t="shared" ref="CB7" si="19">CA7+1</f>
        <v>46030</v>
      </c>
      <c r="CC7" s="33">
        <f t="shared" ref="CC7" si="20">CB7+1</f>
        <v>46031</v>
      </c>
      <c r="CD7" s="33">
        <f t="shared" ref="CD7" si="21">CC7+1</f>
        <v>46032</v>
      </c>
      <c r="CE7" s="33">
        <f t="shared" ref="CE7" si="22">CD7+1</f>
        <v>46033</v>
      </c>
      <c r="CF7" s="33">
        <f t="shared" ref="CF7" si="23">CE7+1</f>
        <v>46034</v>
      </c>
      <c r="CG7" s="33">
        <f t="shared" ref="CG7" si="24">CF7+1</f>
        <v>46035</v>
      </c>
      <c r="CH7" s="33">
        <f t="shared" ref="CH7" si="25">CG7+1</f>
        <v>46036</v>
      </c>
      <c r="CI7" s="33">
        <f t="shared" ref="CI7" si="26">CH7+1</f>
        <v>46037</v>
      </c>
      <c r="CJ7" s="33">
        <f t="shared" ref="CJ7" si="27">CI7+1</f>
        <v>46038</v>
      </c>
      <c r="CK7" s="33">
        <f t="shared" ref="CK7" si="28">CJ7+1</f>
        <v>46039</v>
      </c>
      <c r="CL7" s="33">
        <f t="shared" ref="CL7" si="29">CK7+1</f>
        <v>46040</v>
      </c>
      <c r="CM7" s="33">
        <f t="shared" ref="CM7" si="30">CL7+1</f>
        <v>46041</v>
      </c>
      <c r="CN7" s="33">
        <f t="shared" ref="CN7" si="31">CM7+1</f>
        <v>46042</v>
      </c>
      <c r="CO7" s="33">
        <f t="shared" ref="CO7" si="32">CN7+1</f>
        <v>46043</v>
      </c>
      <c r="CP7" s="33">
        <f t="shared" ref="CP7" si="33">CO7+1</f>
        <v>46044</v>
      </c>
      <c r="CQ7" s="33">
        <f t="shared" ref="CQ7" si="34">CP7+1</f>
        <v>46045</v>
      </c>
      <c r="CR7" s="33">
        <f t="shared" ref="CR7" si="35">CQ7+1</f>
        <v>46046</v>
      </c>
      <c r="CS7" s="33">
        <f t="shared" ref="CS7" si="36">CR7+1</f>
        <v>46047</v>
      </c>
      <c r="CT7" s="33">
        <f t="shared" ref="CT7" si="37">CS7+1</f>
        <v>46048</v>
      </c>
      <c r="CU7" s="33">
        <f t="shared" ref="CU7" si="38">CT7+1</f>
        <v>46049</v>
      </c>
      <c r="CV7" s="33">
        <f t="shared" ref="CV7" si="39">CU7+1</f>
        <v>46050</v>
      </c>
      <c r="CW7" s="33">
        <f t="shared" ref="CW7" si="40">CV7+1</f>
        <v>46051</v>
      </c>
      <c r="CX7" s="33">
        <f t="shared" ref="CX7" si="41">CW7+1</f>
        <v>46052</v>
      </c>
      <c r="CY7" s="33">
        <f t="shared" ref="CY7" si="42">CX7+1</f>
        <v>46053</v>
      </c>
      <c r="CZ7" s="33">
        <f t="shared" ref="CZ7" si="43">CY7+1</f>
        <v>46054</v>
      </c>
      <c r="DA7" s="33">
        <f t="shared" ref="DA7" si="44">CZ7+1</f>
        <v>46055</v>
      </c>
      <c r="DB7" s="33">
        <f t="shared" ref="DB7" si="45">DA7+1</f>
        <v>46056</v>
      </c>
      <c r="DC7" s="33">
        <f t="shared" ref="DC7" si="46">DB7+1</f>
        <v>46057</v>
      </c>
      <c r="DD7" s="33">
        <f t="shared" ref="DD7" si="47">DC7+1</f>
        <v>46058</v>
      </c>
      <c r="DE7" s="33">
        <f t="shared" ref="DE7:DF7" si="48">DD7+1</f>
        <v>46059</v>
      </c>
      <c r="DF7" s="33">
        <f t="shared" si="48"/>
        <v>46060</v>
      </c>
    </row>
    <row r="8" spans="1:110" ht="19.899999999999999" customHeight="1" x14ac:dyDescent="0.35">
      <c r="A8" s="5"/>
      <c r="B8" s="23"/>
      <c r="C8" s="23"/>
      <c r="D8" s="24"/>
      <c r="E8" s="24"/>
      <c r="F8" s="24"/>
      <c r="G8" s="28"/>
      <c r="H8" s="35"/>
      <c r="I8" s="36"/>
      <c r="J8" s="36"/>
      <c r="K8" s="36"/>
      <c r="L8" s="36"/>
      <c r="M8" s="36"/>
      <c r="N8" s="36"/>
      <c r="O8" s="37"/>
      <c r="P8" s="36"/>
      <c r="Q8" s="36"/>
      <c r="R8" s="36"/>
      <c r="S8" s="36"/>
      <c r="T8" s="36"/>
      <c r="U8" s="38"/>
      <c r="V8" s="37"/>
      <c r="W8" s="36"/>
      <c r="X8" s="36"/>
      <c r="Y8" s="36"/>
      <c r="Z8" s="36"/>
      <c r="AA8" s="36"/>
      <c r="AB8" s="38"/>
      <c r="AC8" s="36"/>
      <c r="AD8" s="36"/>
      <c r="AE8" s="36"/>
      <c r="AF8" s="36"/>
      <c r="AG8" s="36"/>
      <c r="AH8" s="36"/>
      <c r="AI8" s="38"/>
      <c r="AJ8" s="36"/>
      <c r="AK8" s="36"/>
      <c r="AL8" s="36"/>
      <c r="AM8" s="36"/>
      <c r="AN8" s="36"/>
      <c r="AO8" s="36"/>
      <c r="AP8" s="38"/>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row>
    <row r="9" spans="1:110" ht="40.15" customHeight="1" x14ac:dyDescent="0.35">
      <c r="A9" s="5"/>
      <c r="B9" s="40" t="s">
        <v>12</v>
      </c>
      <c r="C9" s="41" t="s">
        <v>0</v>
      </c>
      <c r="D9" s="41" t="s">
        <v>22</v>
      </c>
      <c r="E9" s="41" t="s">
        <v>23</v>
      </c>
      <c r="F9" s="41" t="s">
        <v>24</v>
      </c>
      <c r="G9" s="30"/>
      <c r="H9" s="39" t="str">
        <f t="shared" ref="H9:BK9" si="49">LEFT(TEXT(H7,"ddd"),1)</f>
        <v>t</v>
      </c>
      <c r="I9" s="39" t="str">
        <f t="shared" si="49"/>
        <v>q</v>
      </c>
      <c r="J9" s="39" t="str">
        <f t="shared" si="49"/>
        <v>q</v>
      </c>
      <c r="K9" s="39" t="str">
        <f t="shared" si="49"/>
        <v>s</v>
      </c>
      <c r="L9" s="39" t="str">
        <f t="shared" si="49"/>
        <v>s</v>
      </c>
      <c r="M9" s="39" t="str">
        <f t="shared" si="49"/>
        <v>d</v>
      </c>
      <c r="N9" s="39" t="str">
        <f t="shared" si="49"/>
        <v>s</v>
      </c>
      <c r="O9" s="39" t="str">
        <f t="shared" si="49"/>
        <v>t</v>
      </c>
      <c r="P9" s="39" t="str">
        <f t="shared" si="49"/>
        <v>q</v>
      </c>
      <c r="Q9" s="39" t="str">
        <f t="shared" si="49"/>
        <v>q</v>
      </c>
      <c r="R9" s="39" t="str">
        <f t="shared" si="49"/>
        <v>s</v>
      </c>
      <c r="S9" s="39" t="str">
        <f t="shared" si="49"/>
        <v>s</v>
      </c>
      <c r="T9" s="39" t="str">
        <f t="shared" si="49"/>
        <v>d</v>
      </c>
      <c r="U9" s="39" t="str">
        <f t="shared" si="49"/>
        <v>s</v>
      </c>
      <c r="V9" s="39" t="str">
        <f t="shared" si="49"/>
        <v>t</v>
      </c>
      <c r="W9" s="39" t="str">
        <f t="shared" si="49"/>
        <v>q</v>
      </c>
      <c r="X9" s="39" t="str">
        <f t="shared" si="49"/>
        <v>q</v>
      </c>
      <c r="Y9" s="39" t="str">
        <f t="shared" si="49"/>
        <v>s</v>
      </c>
      <c r="Z9" s="39" t="str">
        <f t="shared" si="49"/>
        <v>s</v>
      </c>
      <c r="AA9" s="39" t="str">
        <f t="shared" si="49"/>
        <v>d</v>
      </c>
      <c r="AB9" s="39" t="str">
        <f t="shared" si="49"/>
        <v>s</v>
      </c>
      <c r="AC9" s="39" t="str">
        <f t="shared" si="49"/>
        <v>t</v>
      </c>
      <c r="AD9" s="39" t="str">
        <f t="shared" si="49"/>
        <v>q</v>
      </c>
      <c r="AE9" s="39" t="str">
        <f t="shared" si="49"/>
        <v>q</v>
      </c>
      <c r="AF9" s="39" t="str">
        <f t="shared" si="49"/>
        <v>s</v>
      </c>
      <c r="AG9" s="39" t="str">
        <f t="shared" si="49"/>
        <v>s</v>
      </c>
      <c r="AH9" s="39" t="str">
        <f t="shared" si="49"/>
        <v>d</v>
      </c>
      <c r="AI9" s="39" t="str">
        <f t="shared" si="49"/>
        <v>s</v>
      </c>
      <c r="AJ9" s="39" t="str">
        <f t="shared" si="49"/>
        <v>t</v>
      </c>
      <c r="AK9" s="39" t="str">
        <f t="shared" si="49"/>
        <v>q</v>
      </c>
      <c r="AL9" s="39" t="str">
        <f t="shared" si="49"/>
        <v>q</v>
      </c>
      <c r="AM9" s="39" t="str">
        <f t="shared" si="49"/>
        <v>s</v>
      </c>
      <c r="AN9" s="39" t="str">
        <f t="shared" si="49"/>
        <v>s</v>
      </c>
      <c r="AO9" s="39" t="str">
        <f t="shared" si="49"/>
        <v>d</v>
      </c>
      <c r="AP9" s="39" t="str">
        <f t="shared" si="49"/>
        <v>s</v>
      </c>
      <c r="AQ9" s="39" t="str">
        <f t="shared" si="49"/>
        <v>t</v>
      </c>
      <c r="AR9" s="39" t="str">
        <f t="shared" si="49"/>
        <v>q</v>
      </c>
      <c r="AS9" s="39" t="str">
        <f t="shared" si="49"/>
        <v>q</v>
      </c>
      <c r="AT9" s="39" t="str">
        <f t="shared" si="49"/>
        <v>s</v>
      </c>
      <c r="AU9" s="39" t="str">
        <f t="shared" si="49"/>
        <v>s</v>
      </c>
      <c r="AV9" s="39" t="str">
        <f t="shared" si="49"/>
        <v>d</v>
      </c>
      <c r="AW9" s="39" t="str">
        <f t="shared" si="49"/>
        <v>s</v>
      </c>
      <c r="AX9" s="39" t="str">
        <f t="shared" si="49"/>
        <v>t</v>
      </c>
      <c r="AY9" s="39" t="str">
        <f t="shared" si="49"/>
        <v>q</v>
      </c>
      <c r="AZ9" s="39" t="str">
        <f t="shared" si="49"/>
        <v>q</v>
      </c>
      <c r="BA9" s="39" t="str">
        <f t="shared" si="49"/>
        <v>s</v>
      </c>
      <c r="BB9" s="39" t="str">
        <f t="shared" si="49"/>
        <v>s</v>
      </c>
      <c r="BC9" s="39" t="str">
        <f t="shared" si="49"/>
        <v>d</v>
      </c>
      <c r="BD9" s="39" t="str">
        <f t="shared" si="49"/>
        <v>s</v>
      </c>
      <c r="BE9" s="39" t="str">
        <f t="shared" si="49"/>
        <v>t</v>
      </c>
      <c r="BF9" s="39" t="str">
        <f t="shared" si="49"/>
        <v>q</v>
      </c>
      <c r="BG9" s="39" t="str">
        <f t="shared" si="49"/>
        <v>q</v>
      </c>
      <c r="BH9" s="39" t="str">
        <f t="shared" si="49"/>
        <v>s</v>
      </c>
      <c r="BI9" s="39" t="str">
        <f t="shared" si="49"/>
        <v>s</v>
      </c>
      <c r="BJ9" s="39" t="str">
        <f t="shared" si="49"/>
        <v>d</v>
      </c>
      <c r="BK9" s="39" t="str">
        <f t="shared" si="49"/>
        <v>s</v>
      </c>
      <c r="BL9" s="39" t="str">
        <f t="shared" ref="BL9:BY9" si="50">LEFT(TEXT(BL7,"ddd"),1)</f>
        <v>t</v>
      </c>
      <c r="BM9" s="39" t="str">
        <f t="shared" si="50"/>
        <v>q</v>
      </c>
      <c r="BN9" s="39" t="str">
        <f t="shared" si="50"/>
        <v>q</v>
      </c>
      <c r="BO9" s="39" t="str">
        <f t="shared" si="50"/>
        <v>s</v>
      </c>
      <c r="BP9" s="39" t="str">
        <f t="shared" si="50"/>
        <v>s</v>
      </c>
      <c r="BQ9" s="39" t="str">
        <f t="shared" si="50"/>
        <v>d</v>
      </c>
      <c r="BR9" s="39" t="str">
        <f t="shared" si="50"/>
        <v>s</v>
      </c>
      <c r="BS9" s="39" t="str">
        <f t="shared" si="50"/>
        <v>t</v>
      </c>
      <c r="BT9" s="39" t="str">
        <f t="shared" si="50"/>
        <v>q</v>
      </c>
      <c r="BU9" s="39" t="str">
        <f t="shared" si="50"/>
        <v>q</v>
      </c>
      <c r="BV9" s="39" t="str">
        <f t="shared" si="50"/>
        <v>s</v>
      </c>
      <c r="BW9" s="39" t="str">
        <f t="shared" si="50"/>
        <v>s</v>
      </c>
      <c r="BX9" s="39" t="str">
        <f t="shared" si="50"/>
        <v>d</v>
      </c>
      <c r="BY9" s="39" t="str">
        <f t="shared" si="50"/>
        <v>s</v>
      </c>
      <c r="BZ9" s="39" t="str">
        <f t="shared" ref="BZ9:CB9" si="51">LEFT(TEXT(BZ7,"ddd"),1)</f>
        <v>t</v>
      </c>
      <c r="CA9" s="39" t="str">
        <f t="shared" si="51"/>
        <v>q</v>
      </c>
      <c r="CB9" s="39" t="str">
        <f t="shared" si="51"/>
        <v>q</v>
      </c>
      <c r="CC9" s="39" t="str">
        <f t="shared" ref="CC9:CS9" si="52">LEFT(TEXT(CC7,"ddd"),1)</f>
        <v>s</v>
      </c>
      <c r="CD9" s="39" t="str">
        <f t="shared" si="52"/>
        <v>s</v>
      </c>
      <c r="CE9" s="39" t="str">
        <f t="shared" si="52"/>
        <v>d</v>
      </c>
      <c r="CF9" s="39" t="str">
        <f t="shared" si="52"/>
        <v>s</v>
      </c>
      <c r="CG9" s="39" t="str">
        <f t="shared" si="52"/>
        <v>t</v>
      </c>
      <c r="CH9" s="39" t="str">
        <f t="shared" si="52"/>
        <v>q</v>
      </c>
      <c r="CI9" s="39" t="str">
        <f t="shared" si="52"/>
        <v>q</v>
      </c>
      <c r="CJ9" s="39" t="str">
        <f t="shared" si="52"/>
        <v>s</v>
      </c>
      <c r="CK9" s="39" t="str">
        <f t="shared" si="52"/>
        <v>s</v>
      </c>
      <c r="CL9" s="39" t="str">
        <f t="shared" si="52"/>
        <v>d</v>
      </c>
      <c r="CM9" s="39" t="str">
        <f t="shared" si="52"/>
        <v>s</v>
      </c>
      <c r="CN9" s="39" t="str">
        <f t="shared" si="52"/>
        <v>t</v>
      </c>
      <c r="CO9" s="39" t="str">
        <f t="shared" si="52"/>
        <v>q</v>
      </c>
      <c r="CP9" s="39" t="str">
        <f t="shared" si="52"/>
        <v>q</v>
      </c>
      <c r="CQ9" s="39" t="str">
        <f t="shared" si="52"/>
        <v>s</v>
      </c>
      <c r="CR9" s="39" t="str">
        <f t="shared" si="52"/>
        <v>s</v>
      </c>
      <c r="CS9" s="39" t="str">
        <f t="shared" si="52"/>
        <v>d</v>
      </c>
      <c r="CT9" s="39" t="str">
        <f t="shared" ref="CT9:DE9" si="53">LEFT(TEXT(CT7,"ddd"),1)</f>
        <v>s</v>
      </c>
      <c r="CU9" s="39" t="str">
        <f t="shared" si="53"/>
        <v>t</v>
      </c>
      <c r="CV9" s="39" t="str">
        <f t="shared" si="53"/>
        <v>q</v>
      </c>
      <c r="CW9" s="39" t="str">
        <f t="shared" si="53"/>
        <v>q</v>
      </c>
      <c r="CX9" s="39" t="str">
        <f t="shared" si="53"/>
        <v>s</v>
      </c>
      <c r="CY9" s="39" t="str">
        <f t="shared" si="53"/>
        <v>s</v>
      </c>
      <c r="CZ9" s="39" t="str">
        <f t="shared" si="53"/>
        <v>d</v>
      </c>
      <c r="DA9" s="39" t="str">
        <f t="shared" si="53"/>
        <v>s</v>
      </c>
      <c r="DB9" s="39" t="str">
        <f t="shared" si="53"/>
        <v>t</v>
      </c>
      <c r="DC9" s="39" t="str">
        <f t="shared" si="53"/>
        <v>q</v>
      </c>
      <c r="DD9" s="39" t="str">
        <f t="shared" si="53"/>
        <v>q</v>
      </c>
      <c r="DE9" s="39" t="str">
        <f t="shared" si="53"/>
        <v>s</v>
      </c>
      <c r="DF9" s="39" t="str">
        <f t="shared" ref="DF9" si="54">LEFT(TEXT(DF7,"ddd"),1)</f>
        <v>s</v>
      </c>
    </row>
    <row r="10" spans="1:110" ht="14.5" hidden="1" customHeight="1" x14ac:dyDescent="0.35">
      <c r="B10" s="10"/>
      <c r="C10" s="7"/>
      <c r="D10" s="8"/>
      <c r="E10" s="8">
        <f>Milestones4352[[#This Row],[Ínicio]]+Milestones4352[[#This Row],[Nº Dias]]-1</f>
        <v>-1</v>
      </c>
      <c r="F10" s="9"/>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row>
    <row r="11" spans="1:110" s="1" customFormat="1" ht="40.15" customHeight="1" x14ac:dyDescent="0.35">
      <c r="A11" s="5"/>
      <c r="B11" s="42" t="s">
        <v>8</v>
      </c>
      <c r="C11" s="13" t="s">
        <v>1</v>
      </c>
      <c r="D11" s="14">
        <v>45979</v>
      </c>
      <c r="E11" s="14">
        <f>Milestones4352[[#This Row],[Ínicio]]+Milestones4352[[#This Row],[Nº Dias]]-1</f>
        <v>45979</v>
      </c>
      <c r="F11" s="15">
        <v>1</v>
      </c>
      <c r="G11" s="13"/>
      <c r="H11" s="11" t="str">
        <f t="shared" ref="H11:Q20" si="55">IF(AND($C11="Goal",H$7&gt;=$D11,H$7&lt;=$D11+$F11-1),2,IF(AND($C11="Milestone",H$7&gt;=$D11,H$7&lt;=$D11+$F11-1),1,""))</f>
        <v/>
      </c>
      <c r="I11" s="11" t="str">
        <f t="shared" si="55"/>
        <v/>
      </c>
      <c r="J11" s="11" t="str">
        <f t="shared" si="55"/>
        <v/>
      </c>
      <c r="K11" s="11" t="str">
        <f t="shared" si="55"/>
        <v/>
      </c>
      <c r="L11" s="11" t="str">
        <f t="shared" si="55"/>
        <v/>
      </c>
      <c r="M11" s="11" t="str">
        <f t="shared" si="55"/>
        <v/>
      </c>
      <c r="N11" s="11" t="str">
        <f t="shared" si="55"/>
        <v/>
      </c>
      <c r="O11" s="11" t="str">
        <f t="shared" si="55"/>
        <v/>
      </c>
      <c r="P11" s="11" t="str">
        <f t="shared" si="55"/>
        <v/>
      </c>
      <c r="Q11" s="11" t="str">
        <f t="shared" si="55"/>
        <v/>
      </c>
      <c r="R11" s="11" t="str">
        <f t="shared" ref="R11:AA20" si="56">IF(AND($C11="Goal",R$7&gt;=$D11,R$7&lt;=$D11+$F11-1),2,IF(AND($C11="Milestone",R$7&gt;=$D11,R$7&lt;=$D11+$F11-1),1,""))</f>
        <v/>
      </c>
      <c r="S11" s="11" t="str">
        <f t="shared" si="56"/>
        <v/>
      </c>
      <c r="T11" s="11" t="str">
        <f t="shared" si="56"/>
        <v/>
      </c>
      <c r="U11" s="11" t="str">
        <f t="shared" si="56"/>
        <v/>
      </c>
      <c r="V11" s="11" t="str">
        <f t="shared" si="56"/>
        <v/>
      </c>
      <c r="W11" s="11" t="str">
        <f t="shared" si="56"/>
        <v/>
      </c>
      <c r="X11" s="11" t="str">
        <f t="shared" si="56"/>
        <v/>
      </c>
      <c r="Y11" s="11" t="str">
        <f t="shared" si="56"/>
        <v/>
      </c>
      <c r="Z11" s="11" t="str">
        <f t="shared" si="56"/>
        <v/>
      </c>
      <c r="AA11" s="11" t="str">
        <f t="shared" si="56"/>
        <v/>
      </c>
      <c r="AB11" s="11" t="str">
        <f t="shared" ref="AB11:AK20" si="57">IF(AND($C11="Goal",AB$7&gt;=$D11,AB$7&lt;=$D11+$F11-1),2,IF(AND($C11="Milestone",AB$7&gt;=$D11,AB$7&lt;=$D11+$F11-1),1,""))</f>
        <v/>
      </c>
      <c r="AC11" s="11">
        <f t="shared" si="57"/>
        <v>1</v>
      </c>
      <c r="AD11" s="11" t="str">
        <f t="shared" si="57"/>
        <v/>
      </c>
      <c r="AE11" s="11" t="str">
        <f t="shared" si="57"/>
        <v/>
      </c>
      <c r="AF11" s="11" t="str">
        <f t="shared" si="57"/>
        <v/>
      </c>
      <c r="AG11" s="11" t="str">
        <f t="shared" si="57"/>
        <v/>
      </c>
      <c r="AH11" s="11" t="str">
        <f t="shared" si="57"/>
        <v/>
      </c>
      <c r="AI11" s="11" t="str">
        <f t="shared" si="57"/>
        <v/>
      </c>
      <c r="AJ11" s="11" t="str">
        <f t="shared" si="57"/>
        <v/>
      </c>
      <c r="AK11" s="11" t="str">
        <f t="shared" si="57"/>
        <v/>
      </c>
      <c r="AL11" s="11" t="str">
        <f t="shared" ref="AL11:AU20" si="58">IF(AND($C11="Goal",AL$7&gt;=$D11,AL$7&lt;=$D11+$F11-1),2,IF(AND($C11="Milestone",AL$7&gt;=$D11,AL$7&lt;=$D11+$F11-1),1,""))</f>
        <v/>
      </c>
      <c r="AM11" s="11" t="str">
        <f t="shared" si="58"/>
        <v/>
      </c>
      <c r="AN11" s="11" t="str">
        <f t="shared" si="58"/>
        <v/>
      </c>
      <c r="AO11" s="11" t="str">
        <f t="shared" si="58"/>
        <v/>
      </c>
      <c r="AP11" s="11" t="str">
        <f t="shared" si="58"/>
        <v/>
      </c>
      <c r="AQ11" s="11" t="str">
        <f t="shared" si="58"/>
        <v/>
      </c>
      <c r="AR11" s="11" t="str">
        <f t="shared" si="58"/>
        <v/>
      </c>
      <c r="AS11" s="11" t="str">
        <f t="shared" si="58"/>
        <v/>
      </c>
      <c r="AT11" s="11" t="str">
        <f t="shared" si="58"/>
        <v/>
      </c>
      <c r="AU11" s="11" t="str">
        <f t="shared" si="58"/>
        <v/>
      </c>
      <c r="AV11" s="11" t="str">
        <f t="shared" ref="AV11:BE20" si="59">IF(AND($C11="Goal",AV$7&gt;=$D11,AV$7&lt;=$D11+$F11-1),2,IF(AND($C11="Milestone",AV$7&gt;=$D11,AV$7&lt;=$D11+$F11-1),1,""))</f>
        <v/>
      </c>
      <c r="AW11" s="11" t="str">
        <f t="shared" si="59"/>
        <v/>
      </c>
      <c r="AX11" s="11" t="str">
        <f t="shared" si="59"/>
        <v/>
      </c>
      <c r="AY11" s="11" t="str">
        <f t="shared" si="59"/>
        <v/>
      </c>
      <c r="AZ11" s="11" t="str">
        <f t="shared" si="59"/>
        <v/>
      </c>
      <c r="BA11" s="11" t="str">
        <f t="shared" si="59"/>
        <v/>
      </c>
      <c r="BB11" s="11" t="str">
        <f t="shared" si="59"/>
        <v/>
      </c>
      <c r="BC11" s="11" t="str">
        <f t="shared" si="59"/>
        <v/>
      </c>
      <c r="BD11" s="11" t="str">
        <f t="shared" si="59"/>
        <v/>
      </c>
      <c r="BE11" s="11" t="str">
        <f t="shared" si="59"/>
        <v/>
      </c>
      <c r="BF11" s="11" t="str">
        <f t="shared" ref="BF11:BO20" si="60">IF(AND($C11="Goal",BF$7&gt;=$D11,BF$7&lt;=$D11+$F11-1),2,IF(AND($C11="Milestone",BF$7&gt;=$D11,BF$7&lt;=$D11+$F11-1),1,""))</f>
        <v/>
      </c>
      <c r="BG11" s="11" t="str">
        <f t="shared" si="60"/>
        <v/>
      </c>
      <c r="BH11" s="11" t="str">
        <f t="shared" si="60"/>
        <v/>
      </c>
      <c r="BI11" s="11" t="str">
        <f t="shared" si="60"/>
        <v/>
      </c>
      <c r="BJ11" s="11" t="str">
        <f t="shared" si="60"/>
        <v/>
      </c>
      <c r="BK11" s="11" t="str">
        <f t="shared" si="60"/>
        <v/>
      </c>
      <c r="BL11" s="11" t="str">
        <f t="shared" si="60"/>
        <v/>
      </c>
      <c r="BM11" s="11" t="str">
        <f t="shared" si="60"/>
        <v/>
      </c>
      <c r="BN11" s="11" t="str">
        <f t="shared" si="60"/>
        <v/>
      </c>
      <c r="BO11" s="11" t="str">
        <f t="shared" si="60"/>
        <v/>
      </c>
      <c r="BP11" s="11" t="str">
        <f t="shared" ref="BP11:BY20" si="61">IF(AND($C11="Goal",BP$7&gt;=$D11,BP$7&lt;=$D11+$F11-1),2,IF(AND($C11="Milestone",BP$7&gt;=$D11,BP$7&lt;=$D11+$F11-1),1,""))</f>
        <v/>
      </c>
      <c r="BQ11" s="11" t="str">
        <f t="shared" si="61"/>
        <v/>
      </c>
      <c r="BR11" s="11" t="str">
        <f t="shared" si="61"/>
        <v/>
      </c>
      <c r="BS11" s="11" t="str">
        <f t="shared" si="61"/>
        <v/>
      </c>
      <c r="BT11" s="11" t="str">
        <f t="shared" si="61"/>
        <v/>
      </c>
      <c r="BU11" s="11" t="str">
        <f t="shared" si="61"/>
        <v/>
      </c>
      <c r="BV11" s="11" t="str">
        <f t="shared" si="61"/>
        <v/>
      </c>
      <c r="BW11" s="11" t="str">
        <f t="shared" si="61"/>
        <v/>
      </c>
      <c r="BX11" s="11" t="str">
        <f t="shared" si="61"/>
        <v/>
      </c>
      <c r="BY11" s="11" t="str">
        <f t="shared" si="61"/>
        <v/>
      </c>
      <c r="BZ11" s="11" t="str">
        <f t="shared" ref="BZ11:CI20" si="62">IF(AND($C11="Goal",BZ$7&gt;=$D11,BZ$7&lt;=$D11+$F11-1),2,IF(AND($C11="Milestone",BZ$7&gt;=$D11,BZ$7&lt;=$D11+$F11-1),1,""))</f>
        <v/>
      </c>
      <c r="CA11" s="11" t="str">
        <f t="shared" si="62"/>
        <v/>
      </c>
      <c r="CB11" s="11" t="str">
        <f t="shared" si="62"/>
        <v/>
      </c>
      <c r="CC11" s="11" t="str">
        <f t="shared" si="62"/>
        <v/>
      </c>
      <c r="CD11" s="11" t="str">
        <f t="shared" si="62"/>
        <v/>
      </c>
      <c r="CE11" s="11" t="str">
        <f t="shared" si="62"/>
        <v/>
      </c>
      <c r="CF11" s="11" t="str">
        <f t="shared" si="62"/>
        <v/>
      </c>
      <c r="CG11" s="11" t="str">
        <f t="shared" si="62"/>
        <v/>
      </c>
      <c r="CH11" s="11" t="str">
        <f t="shared" si="62"/>
        <v/>
      </c>
      <c r="CI11" s="11" t="str">
        <f t="shared" si="62"/>
        <v/>
      </c>
      <c r="CJ11" s="11" t="str">
        <f t="shared" ref="CJ11:CS20" si="63">IF(AND($C11="Goal",CJ$7&gt;=$D11,CJ$7&lt;=$D11+$F11-1),2,IF(AND($C11="Milestone",CJ$7&gt;=$D11,CJ$7&lt;=$D11+$F11-1),1,""))</f>
        <v/>
      </c>
      <c r="CK11" s="11" t="str">
        <f t="shared" si="63"/>
        <v/>
      </c>
      <c r="CL11" s="11" t="str">
        <f t="shared" si="63"/>
        <v/>
      </c>
      <c r="CM11" s="11" t="str">
        <f t="shared" si="63"/>
        <v/>
      </c>
      <c r="CN11" s="11" t="str">
        <f t="shared" si="63"/>
        <v/>
      </c>
      <c r="CO11" s="11" t="str">
        <f t="shared" si="63"/>
        <v/>
      </c>
      <c r="CP11" s="11" t="str">
        <f t="shared" si="63"/>
        <v/>
      </c>
      <c r="CQ11" s="11" t="str">
        <f t="shared" si="63"/>
        <v/>
      </c>
      <c r="CR11" s="11" t="str">
        <f t="shared" si="63"/>
        <v/>
      </c>
      <c r="CS11" s="11" t="str">
        <f t="shared" si="63"/>
        <v/>
      </c>
      <c r="CT11" s="11" t="str">
        <f t="shared" ref="CT11:DF20" si="64">IF(AND($C11="Goal",CT$7&gt;=$D11,CT$7&lt;=$D11+$F11-1),2,IF(AND($C11="Milestone",CT$7&gt;=$D11,CT$7&lt;=$D11+$F11-1),1,""))</f>
        <v/>
      </c>
      <c r="CU11" s="11" t="str">
        <f t="shared" si="64"/>
        <v/>
      </c>
      <c r="CV11" s="11" t="str">
        <f t="shared" si="64"/>
        <v/>
      </c>
      <c r="CW11" s="11" t="str">
        <f t="shared" si="64"/>
        <v/>
      </c>
      <c r="CX11" s="11" t="str">
        <f t="shared" si="64"/>
        <v/>
      </c>
      <c r="CY11" s="11" t="str">
        <f t="shared" si="64"/>
        <v/>
      </c>
      <c r="CZ11" s="11" t="str">
        <f t="shared" si="64"/>
        <v/>
      </c>
      <c r="DA11" s="11" t="str">
        <f t="shared" si="64"/>
        <v/>
      </c>
      <c r="DB11" s="11" t="str">
        <f t="shared" si="64"/>
        <v/>
      </c>
      <c r="DC11" s="11" t="str">
        <f t="shared" si="64"/>
        <v/>
      </c>
      <c r="DD11" s="11" t="str">
        <f t="shared" si="64"/>
        <v/>
      </c>
      <c r="DE11" s="11" t="str">
        <f t="shared" si="64"/>
        <v/>
      </c>
      <c r="DF11" s="11" t="str">
        <f t="shared" si="64"/>
        <v/>
      </c>
    </row>
    <row r="12" spans="1:110" s="1" customFormat="1" ht="40.15" customHeight="1" x14ac:dyDescent="0.35">
      <c r="A12" s="5"/>
      <c r="B12" s="43" t="s">
        <v>5</v>
      </c>
      <c r="C12" s="13" t="s">
        <v>4</v>
      </c>
      <c r="D12" s="14">
        <v>45965</v>
      </c>
      <c r="E12" s="14">
        <f>Milestones4352[[#This Row],[Ínicio]]+Milestones4352[[#This Row],[Nº Dias]]-1</f>
        <v>45969</v>
      </c>
      <c r="F12" s="15">
        <v>5</v>
      </c>
      <c r="G12" s="13"/>
      <c r="H12" s="11" t="str">
        <f t="shared" si="55"/>
        <v/>
      </c>
      <c r="I12" s="11" t="str">
        <f t="shared" si="55"/>
        <v/>
      </c>
      <c r="J12" s="11" t="str">
        <f t="shared" si="55"/>
        <v/>
      </c>
      <c r="K12" s="11" t="str">
        <f t="shared" si="55"/>
        <v/>
      </c>
      <c r="L12" s="11" t="str">
        <f t="shared" si="55"/>
        <v/>
      </c>
      <c r="M12" s="11" t="str">
        <f t="shared" si="55"/>
        <v/>
      </c>
      <c r="N12" s="11" t="str">
        <f t="shared" si="55"/>
        <v/>
      </c>
      <c r="O12" s="11" t="str">
        <f t="shared" si="55"/>
        <v/>
      </c>
      <c r="P12" s="11" t="str">
        <f t="shared" si="55"/>
        <v/>
      </c>
      <c r="Q12" s="11" t="str">
        <f t="shared" si="55"/>
        <v/>
      </c>
      <c r="R12" s="11" t="str">
        <f t="shared" si="56"/>
        <v/>
      </c>
      <c r="S12" s="11" t="str">
        <f t="shared" si="56"/>
        <v/>
      </c>
      <c r="T12" s="11" t="str">
        <f t="shared" si="56"/>
        <v/>
      </c>
      <c r="U12" s="11" t="str">
        <f t="shared" si="56"/>
        <v/>
      </c>
      <c r="V12" s="11" t="str">
        <f t="shared" si="56"/>
        <v/>
      </c>
      <c r="W12" s="11" t="str">
        <f t="shared" si="56"/>
        <v/>
      </c>
      <c r="X12" s="11" t="str">
        <f t="shared" si="56"/>
        <v/>
      </c>
      <c r="Y12" s="11" t="str">
        <f t="shared" si="56"/>
        <v/>
      </c>
      <c r="Z12" s="11" t="str">
        <f t="shared" si="56"/>
        <v/>
      </c>
      <c r="AA12" s="11" t="str">
        <f t="shared" si="56"/>
        <v/>
      </c>
      <c r="AB12" s="11" t="str">
        <f t="shared" si="57"/>
        <v/>
      </c>
      <c r="AC12" s="11" t="str">
        <f t="shared" si="57"/>
        <v/>
      </c>
      <c r="AD12" s="11" t="str">
        <f t="shared" si="57"/>
        <v/>
      </c>
      <c r="AE12" s="11" t="str">
        <f t="shared" si="57"/>
        <v/>
      </c>
      <c r="AF12" s="11" t="str">
        <f t="shared" si="57"/>
        <v/>
      </c>
      <c r="AG12" s="11" t="str">
        <f t="shared" si="57"/>
        <v/>
      </c>
      <c r="AH12" s="11" t="str">
        <f t="shared" si="57"/>
        <v/>
      </c>
      <c r="AI12" s="11" t="str">
        <f t="shared" si="57"/>
        <v/>
      </c>
      <c r="AJ12" s="11" t="str">
        <f t="shared" si="57"/>
        <v/>
      </c>
      <c r="AK12" s="11" t="str">
        <f t="shared" si="57"/>
        <v/>
      </c>
      <c r="AL12" s="11" t="str">
        <f t="shared" si="58"/>
        <v/>
      </c>
      <c r="AM12" s="11" t="str">
        <f t="shared" si="58"/>
        <v/>
      </c>
      <c r="AN12" s="11" t="str">
        <f t="shared" si="58"/>
        <v/>
      </c>
      <c r="AO12" s="11" t="str">
        <f t="shared" si="58"/>
        <v/>
      </c>
      <c r="AP12" s="11" t="str">
        <f t="shared" si="58"/>
        <v/>
      </c>
      <c r="AQ12" s="11" t="str">
        <f t="shared" si="58"/>
        <v/>
      </c>
      <c r="AR12" s="11" t="str">
        <f t="shared" si="58"/>
        <v/>
      </c>
      <c r="AS12" s="11" t="str">
        <f t="shared" si="58"/>
        <v/>
      </c>
      <c r="AT12" s="11" t="str">
        <f t="shared" si="58"/>
        <v/>
      </c>
      <c r="AU12" s="11" t="str">
        <f t="shared" si="58"/>
        <v/>
      </c>
      <c r="AV12" s="11" t="str">
        <f t="shared" si="59"/>
        <v/>
      </c>
      <c r="AW12" s="11" t="str">
        <f t="shared" si="59"/>
        <v/>
      </c>
      <c r="AX12" s="11" t="str">
        <f t="shared" si="59"/>
        <v/>
      </c>
      <c r="AY12" s="11" t="str">
        <f t="shared" si="59"/>
        <v/>
      </c>
      <c r="AZ12" s="11" t="str">
        <f t="shared" si="59"/>
        <v/>
      </c>
      <c r="BA12" s="11" t="str">
        <f t="shared" si="59"/>
        <v/>
      </c>
      <c r="BB12" s="11" t="str">
        <f t="shared" si="59"/>
        <v/>
      </c>
      <c r="BC12" s="11" t="str">
        <f t="shared" si="59"/>
        <v/>
      </c>
      <c r="BD12" s="11" t="str">
        <f t="shared" si="59"/>
        <v/>
      </c>
      <c r="BE12" s="11" t="str">
        <f t="shared" si="59"/>
        <v/>
      </c>
      <c r="BF12" s="11" t="str">
        <f t="shared" si="60"/>
        <v/>
      </c>
      <c r="BG12" s="11" t="str">
        <f t="shared" si="60"/>
        <v/>
      </c>
      <c r="BH12" s="11" t="str">
        <f t="shared" si="60"/>
        <v/>
      </c>
      <c r="BI12" s="11" t="str">
        <f t="shared" si="60"/>
        <v/>
      </c>
      <c r="BJ12" s="11" t="str">
        <f t="shared" si="60"/>
        <v/>
      </c>
      <c r="BK12" s="11" t="str">
        <f t="shared" si="60"/>
        <v/>
      </c>
      <c r="BL12" s="11" t="str">
        <f t="shared" si="60"/>
        <v/>
      </c>
      <c r="BM12" s="11" t="str">
        <f t="shared" si="60"/>
        <v/>
      </c>
      <c r="BN12" s="11" t="str">
        <f t="shared" si="60"/>
        <v/>
      </c>
      <c r="BO12" s="11" t="str">
        <f t="shared" si="60"/>
        <v/>
      </c>
      <c r="BP12" s="11" t="str">
        <f t="shared" si="61"/>
        <v/>
      </c>
      <c r="BQ12" s="11" t="str">
        <f t="shared" si="61"/>
        <v/>
      </c>
      <c r="BR12" s="11" t="str">
        <f t="shared" si="61"/>
        <v/>
      </c>
      <c r="BS12" s="11" t="str">
        <f t="shared" si="61"/>
        <v/>
      </c>
      <c r="BT12" s="11" t="str">
        <f t="shared" si="61"/>
        <v/>
      </c>
      <c r="BU12" s="11" t="str">
        <f t="shared" si="61"/>
        <v/>
      </c>
      <c r="BV12" s="11" t="str">
        <f t="shared" si="61"/>
        <v/>
      </c>
      <c r="BW12" s="11" t="str">
        <f t="shared" si="61"/>
        <v/>
      </c>
      <c r="BX12" s="11" t="str">
        <f t="shared" si="61"/>
        <v/>
      </c>
      <c r="BY12" s="11" t="str">
        <f t="shared" si="61"/>
        <v/>
      </c>
      <c r="BZ12" s="11" t="str">
        <f t="shared" si="62"/>
        <v/>
      </c>
      <c r="CA12" s="11" t="str">
        <f t="shared" si="62"/>
        <v/>
      </c>
      <c r="CB12" s="11" t="str">
        <f t="shared" si="62"/>
        <v/>
      </c>
      <c r="CC12" s="11" t="str">
        <f t="shared" si="62"/>
        <v/>
      </c>
      <c r="CD12" s="11" t="str">
        <f t="shared" si="62"/>
        <v/>
      </c>
      <c r="CE12" s="11" t="str">
        <f t="shared" si="62"/>
        <v/>
      </c>
      <c r="CF12" s="11" t="str">
        <f t="shared" si="62"/>
        <v/>
      </c>
      <c r="CG12" s="11" t="str">
        <f t="shared" si="62"/>
        <v/>
      </c>
      <c r="CH12" s="11" t="str">
        <f t="shared" si="62"/>
        <v/>
      </c>
      <c r="CI12" s="11" t="str">
        <f t="shared" si="62"/>
        <v/>
      </c>
      <c r="CJ12" s="11" t="str">
        <f t="shared" si="63"/>
        <v/>
      </c>
      <c r="CK12" s="11" t="str">
        <f t="shared" si="63"/>
        <v/>
      </c>
      <c r="CL12" s="11" t="str">
        <f t="shared" si="63"/>
        <v/>
      </c>
      <c r="CM12" s="11" t="str">
        <f t="shared" si="63"/>
        <v/>
      </c>
      <c r="CN12" s="11" t="str">
        <f t="shared" si="63"/>
        <v/>
      </c>
      <c r="CO12" s="11" t="str">
        <f t="shared" si="63"/>
        <v/>
      </c>
      <c r="CP12" s="11" t="str">
        <f t="shared" si="63"/>
        <v/>
      </c>
      <c r="CQ12" s="11" t="str">
        <f t="shared" si="63"/>
        <v/>
      </c>
      <c r="CR12" s="11" t="str">
        <f t="shared" si="63"/>
        <v/>
      </c>
      <c r="CS12" s="11" t="str">
        <f t="shared" si="63"/>
        <v/>
      </c>
      <c r="CT12" s="11" t="str">
        <f t="shared" si="64"/>
        <v/>
      </c>
      <c r="CU12" s="11" t="str">
        <f t="shared" si="64"/>
        <v/>
      </c>
      <c r="CV12" s="11" t="str">
        <f t="shared" si="64"/>
        <v/>
      </c>
      <c r="CW12" s="11" t="str">
        <f t="shared" si="64"/>
        <v/>
      </c>
      <c r="CX12" s="11" t="str">
        <f t="shared" si="64"/>
        <v/>
      </c>
      <c r="CY12" s="11" t="str">
        <f t="shared" si="64"/>
        <v/>
      </c>
      <c r="CZ12" s="11" t="str">
        <f t="shared" si="64"/>
        <v/>
      </c>
      <c r="DA12" s="11" t="str">
        <f t="shared" si="64"/>
        <v/>
      </c>
      <c r="DB12" s="11" t="str">
        <f t="shared" si="64"/>
        <v/>
      </c>
      <c r="DC12" s="11" t="str">
        <f t="shared" si="64"/>
        <v/>
      </c>
      <c r="DD12" s="11" t="str">
        <f t="shared" si="64"/>
        <v/>
      </c>
      <c r="DE12" s="11" t="str">
        <f t="shared" si="64"/>
        <v/>
      </c>
      <c r="DF12" s="11" t="str">
        <f t="shared" si="64"/>
        <v/>
      </c>
    </row>
    <row r="13" spans="1:110" s="1" customFormat="1" ht="40.15" customHeight="1" x14ac:dyDescent="0.35">
      <c r="A13" s="5"/>
      <c r="B13" s="43" t="s">
        <v>6</v>
      </c>
      <c r="C13" s="13" t="s">
        <v>4</v>
      </c>
      <c r="D13" s="14">
        <f>D12+4</f>
        <v>45969</v>
      </c>
      <c r="E13" s="14">
        <f>Milestones4352[[#This Row],[Ínicio]]+Milestones4352[[#This Row],[Nº Dias]]-1</f>
        <v>45975</v>
      </c>
      <c r="F13" s="15">
        <v>7</v>
      </c>
      <c r="G13" s="13"/>
      <c r="H13" s="11" t="str">
        <f t="shared" si="55"/>
        <v/>
      </c>
      <c r="I13" s="11" t="str">
        <f t="shared" si="55"/>
        <v/>
      </c>
      <c r="J13" s="11" t="str">
        <f t="shared" si="55"/>
        <v/>
      </c>
      <c r="K13" s="11" t="str">
        <f t="shared" si="55"/>
        <v/>
      </c>
      <c r="L13" s="11" t="str">
        <f t="shared" si="55"/>
        <v/>
      </c>
      <c r="M13" s="11" t="str">
        <f t="shared" si="55"/>
        <v/>
      </c>
      <c r="N13" s="11" t="str">
        <f t="shared" si="55"/>
        <v/>
      </c>
      <c r="O13" s="11" t="str">
        <f t="shared" si="55"/>
        <v/>
      </c>
      <c r="P13" s="11" t="str">
        <f t="shared" si="55"/>
        <v/>
      </c>
      <c r="Q13" s="11" t="str">
        <f t="shared" si="55"/>
        <v/>
      </c>
      <c r="R13" s="11" t="str">
        <f t="shared" si="56"/>
        <v/>
      </c>
      <c r="S13" s="11" t="str">
        <f t="shared" si="56"/>
        <v/>
      </c>
      <c r="T13" s="11" t="str">
        <f t="shared" si="56"/>
        <v/>
      </c>
      <c r="U13" s="11" t="str">
        <f t="shared" si="56"/>
        <v/>
      </c>
      <c r="V13" s="11" t="str">
        <f t="shared" si="56"/>
        <v/>
      </c>
      <c r="W13" s="11" t="str">
        <f t="shared" si="56"/>
        <v/>
      </c>
      <c r="X13" s="11" t="str">
        <f t="shared" si="56"/>
        <v/>
      </c>
      <c r="Y13" s="11" t="str">
        <f t="shared" si="56"/>
        <v/>
      </c>
      <c r="Z13" s="11" t="str">
        <f t="shared" si="56"/>
        <v/>
      </c>
      <c r="AA13" s="11" t="str">
        <f t="shared" si="56"/>
        <v/>
      </c>
      <c r="AB13" s="11" t="str">
        <f t="shared" si="57"/>
        <v/>
      </c>
      <c r="AC13" s="11" t="str">
        <f t="shared" si="57"/>
        <v/>
      </c>
      <c r="AD13" s="11" t="str">
        <f t="shared" si="57"/>
        <v/>
      </c>
      <c r="AE13" s="11" t="str">
        <f t="shared" si="57"/>
        <v/>
      </c>
      <c r="AF13" s="11" t="str">
        <f t="shared" si="57"/>
        <v/>
      </c>
      <c r="AG13" s="11" t="str">
        <f t="shared" si="57"/>
        <v/>
      </c>
      <c r="AH13" s="11" t="str">
        <f t="shared" si="57"/>
        <v/>
      </c>
      <c r="AI13" s="11" t="str">
        <f t="shared" si="57"/>
        <v/>
      </c>
      <c r="AJ13" s="11" t="str">
        <f t="shared" si="57"/>
        <v/>
      </c>
      <c r="AK13" s="11" t="str">
        <f t="shared" si="57"/>
        <v/>
      </c>
      <c r="AL13" s="11" t="str">
        <f t="shared" si="58"/>
        <v/>
      </c>
      <c r="AM13" s="11" t="str">
        <f t="shared" si="58"/>
        <v/>
      </c>
      <c r="AN13" s="11" t="str">
        <f t="shared" si="58"/>
        <v/>
      </c>
      <c r="AO13" s="11" t="str">
        <f t="shared" si="58"/>
        <v/>
      </c>
      <c r="AP13" s="11" t="str">
        <f t="shared" si="58"/>
        <v/>
      </c>
      <c r="AQ13" s="11" t="str">
        <f t="shared" si="58"/>
        <v/>
      </c>
      <c r="AR13" s="11" t="str">
        <f t="shared" si="58"/>
        <v/>
      </c>
      <c r="AS13" s="11" t="str">
        <f t="shared" si="58"/>
        <v/>
      </c>
      <c r="AT13" s="11" t="str">
        <f t="shared" si="58"/>
        <v/>
      </c>
      <c r="AU13" s="11" t="str">
        <f t="shared" si="58"/>
        <v/>
      </c>
      <c r="AV13" s="11" t="str">
        <f t="shared" si="59"/>
        <v/>
      </c>
      <c r="AW13" s="11" t="str">
        <f t="shared" si="59"/>
        <v/>
      </c>
      <c r="AX13" s="11" t="str">
        <f t="shared" si="59"/>
        <v/>
      </c>
      <c r="AY13" s="11" t="str">
        <f t="shared" si="59"/>
        <v/>
      </c>
      <c r="AZ13" s="11" t="str">
        <f t="shared" si="59"/>
        <v/>
      </c>
      <c r="BA13" s="11" t="str">
        <f t="shared" si="59"/>
        <v/>
      </c>
      <c r="BB13" s="11" t="str">
        <f t="shared" si="59"/>
        <v/>
      </c>
      <c r="BC13" s="11" t="str">
        <f t="shared" si="59"/>
        <v/>
      </c>
      <c r="BD13" s="11" t="str">
        <f t="shared" si="59"/>
        <v/>
      </c>
      <c r="BE13" s="11" t="str">
        <f t="shared" si="59"/>
        <v/>
      </c>
      <c r="BF13" s="11" t="str">
        <f t="shared" si="60"/>
        <v/>
      </c>
      <c r="BG13" s="11" t="str">
        <f t="shared" si="60"/>
        <v/>
      </c>
      <c r="BH13" s="11" t="str">
        <f t="shared" si="60"/>
        <v/>
      </c>
      <c r="BI13" s="11" t="str">
        <f t="shared" si="60"/>
        <v/>
      </c>
      <c r="BJ13" s="11" t="str">
        <f t="shared" si="60"/>
        <v/>
      </c>
      <c r="BK13" s="11" t="str">
        <f t="shared" si="60"/>
        <v/>
      </c>
      <c r="BL13" s="11" t="str">
        <f t="shared" si="60"/>
        <v/>
      </c>
      <c r="BM13" s="11" t="str">
        <f t="shared" si="60"/>
        <v/>
      </c>
      <c r="BN13" s="11" t="str">
        <f t="shared" si="60"/>
        <v/>
      </c>
      <c r="BO13" s="11" t="str">
        <f t="shared" si="60"/>
        <v/>
      </c>
      <c r="BP13" s="11" t="str">
        <f t="shared" si="61"/>
        <v/>
      </c>
      <c r="BQ13" s="11" t="str">
        <f t="shared" si="61"/>
        <v/>
      </c>
      <c r="BR13" s="11" t="str">
        <f t="shared" si="61"/>
        <v/>
      </c>
      <c r="BS13" s="11" t="str">
        <f t="shared" si="61"/>
        <v/>
      </c>
      <c r="BT13" s="11" t="str">
        <f t="shared" si="61"/>
        <v/>
      </c>
      <c r="BU13" s="11" t="str">
        <f t="shared" si="61"/>
        <v/>
      </c>
      <c r="BV13" s="11" t="str">
        <f t="shared" si="61"/>
        <v/>
      </c>
      <c r="BW13" s="11" t="str">
        <f t="shared" si="61"/>
        <v/>
      </c>
      <c r="BX13" s="11" t="str">
        <f t="shared" si="61"/>
        <v/>
      </c>
      <c r="BY13" s="11" t="str">
        <f t="shared" si="61"/>
        <v/>
      </c>
      <c r="BZ13" s="11" t="str">
        <f t="shared" si="62"/>
        <v/>
      </c>
      <c r="CA13" s="11" t="str">
        <f t="shared" si="62"/>
        <v/>
      </c>
      <c r="CB13" s="11" t="str">
        <f t="shared" si="62"/>
        <v/>
      </c>
      <c r="CC13" s="11" t="str">
        <f t="shared" si="62"/>
        <v/>
      </c>
      <c r="CD13" s="11" t="str">
        <f t="shared" si="62"/>
        <v/>
      </c>
      <c r="CE13" s="11" t="str">
        <f t="shared" si="62"/>
        <v/>
      </c>
      <c r="CF13" s="11" t="str">
        <f t="shared" si="62"/>
        <v/>
      </c>
      <c r="CG13" s="11" t="str">
        <f t="shared" si="62"/>
        <v/>
      </c>
      <c r="CH13" s="11" t="str">
        <f t="shared" si="62"/>
        <v/>
      </c>
      <c r="CI13" s="11" t="str">
        <f t="shared" si="62"/>
        <v/>
      </c>
      <c r="CJ13" s="11" t="str">
        <f t="shared" si="63"/>
        <v/>
      </c>
      <c r="CK13" s="11" t="str">
        <f t="shared" si="63"/>
        <v/>
      </c>
      <c r="CL13" s="11" t="str">
        <f t="shared" si="63"/>
        <v/>
      </c>
      <c r="CM13" s="11" t="str">
        <f t="shared" si="63"/>
        <v/>
      </c>
      <c r="CN13" s="11" t="str">
        <f t="shared" si="63"/>
        <v/>
      </c>
      <c r="CO13" s="11" t="str">
        <f t="shared" si="63"/>
        <v/>
      </c>
      <c r="CP13" s="11" t="str">
        <f t="shared" si="63"/>
        <v/>
      </c>
      <c r="CQ13" s="11" t="str">
        <f t="shared" si="63"/>
        <v/>
      </c>
      <c r="CR13" s="11" t="str">
        <f t="shared" si="63"/>
        <v/>
      </c>
      <c r="CS13" s="11" t="str">
        <f t="shared" si="63"/>
        <v/>
      </c>
      <c r="CT13" s="11" t="str">
        <f t="shared" si="64"/>
        <v/>
      </c>
      <c r="CU13" s="11" t="str">
        <f t="shared" si="64"/>
        <v/>
      </c>
      <c r="CV13" s="11" t="str">
        <f t="shared" si="64"/>
        <v/>
      </c>
      <c r="CW13" s="11" t="str">
        <f t="shared" si="64"/>
        <v/>
      </c>
      <c r="CX13" s="11" t="str">
        <f t="shared" si="64"/>
        <v/>
      </c>
      <c r="CY13" s="11" t="str">
        <f t="shared" si="64"/>
        <v/>
      </c>
      <c r="CZ13" s="11" t="str">
        <f t="shared" si="64"/>
        <v/>
      </c>
      <c r="DA13" s="11" t="str">
        <f t="shared" si="64"/>
        <v/>
      </c>
      <c r="DB13" s="11" t="str">
        <f t="shared" si="64"/>
        <v/>
      </c>
      <c r="DC13" s="11" t="str">
        <f t="shared" si="64"/>
        <v/>
      </c>
      <c r="DD13" s="11" t="str">
        <f t="shared" si="64"/>
        <v/>
      </c>
      <c r="DE13" s="11" t="str">
        <f t="shared" si="64"/>
        <v/>
      </c>
      <c r="DF13" s="11" t="str">
        <f t="shared" si="64"/>
        <v/>
      </c>
    </row>
    <row r="14" spans="1:110" s="1" customFormat="1" ht="40.15" customHeight="1" x14ac:dyDescent="0.35">
      <c r="A14" s="4"/>
      <c r="B14" s="43" t="s">
        <v>7</v>
      </c>
      <c r="C14" s="13" t="s">
        <v>4</v>
      </c>
      <c r="D14" s="14">
        <v>45970</v>
      </c>
      <c r="E14" s="14">
        <f>Milestones4352[[#This Row],[Ínicio]]+Milestones4352[[#This Row],[Nº Dias]]-1</f>
        <v>45979</v>
      </c>
      <c r="F14" s="15">
        <v>10</v>
      </c>
      <c r="G14" s="13"/>
      <c r="H14" s="11" t="str">
        <f t="shared" si="55"/>
        <v/>
      </c>
      <c r="I14" s="11" t="str">
        <f t="shared" si="55"/>
        <v/>
      </c>
      <c r="J14" s="11" t="str">
        <f t="shared" si="55"/>
        <v/>
      </c>
      <c r="K14" s="11" t="str">
        <f t="shared" si="55"/>
        <v/>
      </c>
      <c r="L14" s="11" t="str">
        <f t="shared" si="55"/>
        <v/>
      </c>
      <c r="M14" s="11" t="str">
        <f t="shared" si="55"/>
        <v/>
      </c>
      <c r="N14" s="11" t="str">
        <f t="shared" si="55"/>
        <v/>
      </c>
      <c r="O14" s="11" t="str">
        <f t="shared" si="55"/>
        <v/>
      </c>
      <c r="P14" s="11" t="str">
        <f t="shared" si="55"/>
        <v/>
      </c>
      <c r="Q14" s="11" t="str">
        <f t="shared" si="55"/>
        <v/>
      </c>
      <c r="R14" s="11" t="str">
        <f t="shared" si="56"/>
        <v/>
      </c>
      <c r="S14" s="11" t="str">
        <f t="shared" si="56"/>
        <v/>
      </c>
      <c r="T14" s="11" t="str">
        <f t="shared" si="56"/>
        <v/>
      </c>
      <c r="U14" s="11" t="str">
        <f t="shared" si="56"/>
        <v/>
      </c>
      <c r="V14" s="11" t="str">
        <f t="shared" si="56"/>
        <v/>
      </c>
      <c r="W14" s="11" t="str">
        <f t="shared" si="56"/>
        <v/>
      </c>
      <c r="X14" s="11" t="str">
        <f t="shared" si="56"/>
        <v/>
      </c>
      <c r="Y14" s="11" t="str">
        <f t="shared" si="56"/>
        <v/>
      </c>
      <c r="Z14" s="11" t="str">
        <f t="shared" si="56"/>
        <v/>
      </c>
      <c r="AA14" s="11" t="str">
        <f t="shared" si="56"/>
        <v/>
      </c>
      <c r="AB14" s="11" t="str">
        <f t="shared" si="57"/>
        <v/>
      </c>
      <c r="AC14" s="11" t="str">
        <f t="shared" si="57"/>
        <v/>
      </c>
      <c r="AD14" s="11" t="str">
        <f t="shared" si="57"/>
        <v/>
      </c>
      <c r="AE14" s="11" t="str">
        <f t="shared" si="57"/>
        <v/>
      </c>
      <c r="AF14" s="11" t="str">
        <f t="shared" si="57"/>
        <v/>
      </c>
      <c r="AG14" s="11" t="str">
        <f t="shared" si="57"/>
        <v/>
      </c>
      <c r="AH14" s="11" t="str">
        <f t="shared" si="57"/>
        <v/>
      </c>
      <c r="AI14" s="11" t="str">
        <f t="shared" si="57"/>
        <v/>
      </c>
      <c r="AJ14" s="11" t="str">
        <f t="shared" si="57"/>
        <v/>
      </c>
      <c r="AK14" s="11" t="str">
        <f t="shared" si="57"/>
        <v/>
      </c>
      <c r="AL14" s="11" t="str">
        <f t="shared" si="58"/>
        <v/>
      </c>
      <c r="AM14" s="11" t="str">
        <f t="shared" si="58"/>
        <v/>
      </c>
      <c r="AN14" s="11" t="str">
        <f t="shared" si="58"/>
        <v/>
      </c>
      <c r="AO14" s="11" t="str">
        <f t="shared" si="58"/>
        <v/>
      </c>
      <c r="AP14" s="11" t="str">
        <f t="shared" si="58"/>
        <v/>
      </c>
      <c r="AQ14" s="11" t="str">
        <f t="shared" si="58"/>
        <v/>
      </c>
      <c r="AR14" s="11" t="str">
        <f t="shared" si="58"/>
        <v/>
      </c>
      <c r="AS14" s="11" t="str">
        <f t="shared" si="58"/>
        <v/>
      </c>
      <c r="AT14" s="11" t="str">
        <f t="shared" si="58"/>
        <v/>
      </c>
      <c r="AU14" s="11" t="str">
        <f t="shared" si="58"/>
        <v/>
      </c>
      <c r="AV14" s="11" t="str">
        <f t="shared" si="59"/>
        <v/>
      </c>
      <c r="AW14" s="11" t="str">
        <f t="shared" si="59"/>
        <v/>
      </c>
      <c r="AX14" s="11" t="str">
        <f t="shared" si="59"/>
        <v/>
      </c>
      <c r="AY14" s="11" t="str">
        <f t="shared" si="59"/>
        <v/>
      </c>
      <c r="AZ14" s="11" t="str">
        <f t="shared" si="59"/>
        <v/>
      </c>
      <c r="BA14" s="11" t="str">
        <f t="shared" si="59"/>
        <v/>
      </c>
      <c r="BB14" s="11" t="str">
        <f t="shared" si="59"/>
        <v/>
      </c>
      <c r="BC14" s="11" t="str">
        <f t="shared" si="59"/>
        <v/>
      </c>
      <c r="BD14" s="11" t="str">
        <f t="shared" si="59"/>
        <v/>
      </c>
      <c r="BE14" s="11" t="str">
        <f t="shared" si="59"/>
        <v/>
      </c>
      <c r="BF14" s="11" t="str">
        <f t="shared" si="60"/>
        <v/>
      </c>
      <c r="BG14" s="11" t="str">
        <f t="shared" si="60"/>
        <v/>
      </c>
      <c r="BH14" s="11" t="str">
        <f t="shared" si="60"/>
        <v/>
      </c>
      <c r="BI14" s="11" t="str">
        <f t="shared" si="60"/>
        <v/>
      </c>
      <c r="BJ14" s="11" t="str">
        <f t="shared" si="60"/>
        <v/>
      </c>
      <c r="BK14" s="11" t="str">
        <f t="shared" si="60"/>
        <v/>
      </c>
      <c r="BL14" s="11" t="str">
        <f t="shared" si="60"/>
        <v/>
      </c>
      <c r="BM14" s="11" t="str">
        <f t="shared" si="60"/>
        <v/>
      </c>
      <c r="BN14" s="11" t="str">
        <f t="shared" si="60"/>
        <v/>
      </c>
      <c r="BO14" s="11" t="str">
        <f t="shared" si="60"/>
        <v/>
      </c>
      <c r="BP14" s="11" t="str">
        <f t="shared" si="61"/>
        <v/>
      </c>
      <c r="BQ14" s="11" t="str">
        <f t="shared" si="61"/>
        <v/>
      </c>
      <c r="BR14" s="11" t="str">
        <f t="shared" si="61"/>
        <v/>
      </c>
      <c r="BS14" s="11" t="str">
        <f t="shared" si="61"/>
        <v/>
      </c>
      <c r="BT14" s="11" t="str">
        <f t="shared" si="61"/>
        <v/>
      </c>
      <c r="BU14" s="11" t="str">
        <f t="shared" si="61"/>
        <v/>
      </c>
      <c r="BV14" s="11" t="str">
        <f t="shared" si="61"/>
        <v/>
      </c>
      <c r="BW14" s="11" t="str">
        <f t="shared" si="61"/>
        <v/>
      </c>
      <c r="BX14" s="11" t="str">
        <f t="shared" si="61"/>
        <v/>
      </c>
      <c r="BY14" s="11" t="str">
        <f t="shared" si="61"/>
        <v/>
      </c>
      <c r="BZ14" s="11" t="str">
        <f t="shared" si="62"/>
        <v/>
      </c>
      <c r="CA14" s="11" t="str">
        <f t="shared" si="62"/>
        <v/>
      </c>
      <c r="CB14" s="11" t="str">
        <f t="shared" si="62"/>
        <v/>
      </c>
      <c r="CC14" s="11" t="str">
        <f t="shared" si="62"/>
        <v/>
      </c>
      <c r="CD14" s="11" t="str">
        <f t="shared" si="62"/>
        <v/>
      </c>
      <c r="CE14" s="11" t="str">
        <f t="shared" si="62"/>
        <v/>
      </c>
      <c r="CF14" s="11" t="str">
        <f t="shared" si="62"/>
        <v/>
      </c>
      <c r="CG14" s="11" t="str">
        <f t="shared" si="62"/>
        <v/>
      </c>
      <c r="CH14" s="11" t="str">
        <f t="shared" si="62"/>
        <v/>
      </c>
      <c r="CI14" s="11" t="str">
        <f t="shared" si="62"/>
        <v/>
      </c>
      <c r="CJ14" s="11" t="str">
        <f t="shared" si="63"/>
        <v/>
      </c>
      <c r="CK14" s="11" t="str">
        <f t="shared" si="63"/>
        <v/>
      </c>
      <c r="CL14" s="11" t="str">
        <f t="shared" si="63"/>
        <v/>
      </c>
      <c r="CM14" s="11" t="str">
        <f t="shared" si="63"/>
        <v/>
      </c>
      <c r="CN14" s="11" t="str">
        <f t="shared" si="63"/>
        <v/>
      </c>
      <c r="CO14" s="11" t="str">
        <f t="shared" si="63"/>
        <v/>
      </c>
      <c r="CP14" s="11" t="str">
        <f t="shared" si="63"/>
        <v/>
      </c>
      <c r="CQ14" s="11" t="str">
        <f t="shared" si="63"/>
        <v/>
      </c>
      <c r="CR14" s="11" t="str">
        <f t="shared" si="63"/>
        <v/>
      </c>
      <c r="CS14" s="11" t="str">
        <f t="shared" si="63"/>
        <v/>
      </c>
      <c r="CT14" s="11" t="str">
        <f t="shared" si="64"/>
        <v/>
      </c>
      <c r="CU14" s="11" t="str">
        <f t="shared" si="64"/>
        <v/>
      </c>
      <c r="CV14" s="11" t="str">
        <f t="shared" si="64"/>
        <v/>
      </c>
      <c r="CW14" s="11" t="str">
        <f t="shared" si="64"/>
        <v/>
      </c>
      <c r="CX14" s="11" t="str">
        <f t="shared" si="64"/>
        <v/>
      </c>
      <c r="CY14" s="11" t="str">
        <f t="shared" si="64"/>
        <v/>
      </c>
      <c r="CZ14" s="11" t="str">
        <f t="shared" si="64"/>
        <v/>
      </c>
      <c r="DA14" s="11" t="str">
        <f t="shared" si="64"/>
        <v/>
      </c>
      <c r="DB14" s="11" t="str">
        <f t="shared" si="64"/>
        <v/>
      </c>
      <c r="DC14" s="11" t="str">
        <f t="shared" si="64"/>
        <v/>
      </c>
      <c r="DD14" s="11" t="str">
        <f t="shared" si="64"/>
        <v/>
      </c>
      <c r="DE14" s="11" t="str">
        <f t="shared" si="64"/>
        <v/>
      </c>
      <c r="DF14" s="11" t="str">
        <f t="shared" si="64"/>
        <v/>
      </c>
    </row>
    <row r="15" spans="1:110" s="1" customFormat="1" ht="40.15" customHeight="1" x14ac:dyDescent="0.35">
      <c r="A15" s="4"/>
      <c r="B15" s="42" t="s">
        <v>9</v>
      </c>
      <c r="C15" s="13" t="s">
        <v>1</v>
      </c>
      <c r="D15" s="14">
        <v>46007</v>
      </c>
      <c r="E15" s="14">
        <f>Milestones4352[[#This Row],[Ínicio]]+Milestones4352[[#This Row],[Nº Dias]]-1</f>
        <v>46007</v>
      </c>
      <c r="F15" s="15">
        <v>1</v>
      </c>
      <c r="G15" s="13"/>
      <c r="H15" s="11" t="str">
        <f t="shared" si="55"/>
        <v/>
      </c>
      <c r="I15" s="11" t="str">
        <f t="shared" si="55"/>
        <v/>
      </c>
      <c r="J15" s="11" t="str">
        <f t="shared" si="55"/>
        <v/>
      </c>
      <c r="K15" s="11" t="str">
        <f t="shared" si="55"/>
        <v/>
      </c>
      <c r="L15" s="11" t="str">
        <f t="shared" si="55"/>
        <v/>
      </c>
      <c r="M15" s="11" t="str">
        <f t="shared" si="55"/>
        <v/>
      </c>
      <c r="N15" s="11" t="str">
        <f t="shared" si="55"/>
        <v/>
      </c>
      <c r="O15" s="11" t="str">
        <f t="shared" si="55"/>
        <v/>
      </c>
      <c r="P15" s="11" t="str">
        <f t="shared" si="55"/>
        <v/>
      </c>
      <c r="Q15" s="11" t="str">
        <f t="shared" si="55"/>
        <v/>
      </c>
      <c r="R15" s="11" t="str">
        <f t="shared" si="56"/>
        <v/>
      </c>
      <c r="S15" s="11" t="str">
        <f t="shared" si="56"/>
        <v/>
      </c>
      <c r="T15" s="11" t="str">
        <f t="shared" si="56"/>
        <v/>
      </c>
      <c r="U15" s="11" t="str">
        <f t="shared" si="56"/>
        <v/>
      </c>
      <c r="V15" s="11" t="str">
        <f t="shared" si="56"/>
        <v/>
      </c>
      <c r="W15" s="11" t="str">
        <f t="shared" si="56"/>
        <v/>
      </c>
      <c r="X15" s="11" t="str">
        <f t="shared" si="56"/>
        <v/>
      </c>
      <c r="Y15" s="11" t="str">
        <f t="shared" si="56"/>
        <v/>
      </c>
      <c r="Z15" s="11" t="str">
        <f t="shared" si="56"/>
        <v/>
      </c>
      <c r="AA15" s="11" t="str">
        <f t="shared" si="56"/>
        <v/>
      </c>
      <c r="AB15" s="11" t="str">
        <f t="shared" si="57"/>
        <v/>
      </c>
      <c r="AC15" s="11" t="str">
        <f t="shared" si="57"/>
        <v/>
      </c>
      <c r="AD15" s="11" t="str">
        <f t="shared" si="57"/>
        <v/>
      </c>
      <c r="AE15" s="11" t="str">
        <f t="shared" si="57"/>
        <v/>
      </c>
      <c r="AF15" s="11" t="str">
        <f t="shared" si="57"/>
        <v/>
      </c>
      <c r="AG15" s="11" t="str">
        <f t="shared" si="57"/>
        <v/>
      </c>
      <c r="AH15" s="11" t="str">
        <f t="shared" si="57"/>
        <v/>
      </c>
      <c r="AI15" s="11" t="str">
        <f t="shared" si="57"/>
        <v/>
      </c>
      <c r="AJ15" s="11" t="str">
        <f t="shared" si="57"/>
        <v/>
      </c>
      <c r="AK15" s="11" t="str">
        <f t="shared" si="57"/>
        <v/>
      </c>
      <c r="AL15" s="11" t="str">
        <f t="shared" si="58"/>
        <v/>
      </c>
      <c r="AM15" s="11" t="str">
        <f t="shared" si="58"/>
        <v/>
      </c>
      <c r="AN15" s="11" t="str">
        <f t="shared" si="58"/>
        <v/>
      </c>
      <c r="AO15" s="11" t="str">
        <f t="shared" si="58"/>
        <v/>
      </c>
      <c r="AP15" s="11" t="str">
        <f t="shared" si="58"/>
        <v/>
      </c>
      <c r="AQ15" s="11" t="str">
        <f t="shared" si="58"/>
        <v/>
      </c>
      <c r="AR15" s="11" t="str">
        <f t="shared" si="58"/>
        <v/>
      </c>
      <c r="AS15" s="11" t="str">
        <f t="shared" si="58"/>
        <v/>
      </c>
      <c r="AT15" s="11" t="str">
        <f t="shared" si="58"/>
        <v/>
      </c>
      <c r="AU15" s="11" t="str">
        <f t="shared" si="58"/>
        <v/>
      </c>
      <c r="AV15" s="11" t="str">
        <f t="shared" si="59"/>
        <v/>
      </c>
      <c r="AW15" s="11" t="str">
        <f t="shared" si="59"/>
        <v/>
      </c>
      <c r="AX15" s="11" t="str">
        <f t="shared" si="59"/>
        <v/>
      </c>
      <c r="AY15" s="11" t="str">
        <f t="shared" si="59"/>
        <v/>
      </c>
      <c r="AZ15" s="11" t="str">
        <f t="shared" si="59"/>
        <v/>
      </c>
      <c r="BA15" s="11" t="str">
        <f t="shared" si="59"/>
        <v/>
      </c>
      <c r="BB15" s="11" t="str">
        <f t="shared" si="59"/>
        <v/>
      </c>
      <c r="BC15" s="11" t="str">
        <f t="shared" si="59"/>
        <v/>
      </c>
      <c r="BD15" s="11" t="str">
        <f t="shared" si="59"/>
        <v/>
      </c>
      <c r="BE15" s="11">
        <f t="shared" si="59"/>
        <v>1</v>
      </c>
      <c r="BF15" s="11" t="str">
        <f t="shared" si="60"/>
        <v/>
      </c>
      <c r="BG15" s="11" t="str">
        <f t="shared" si="60"/>
        <v/>
      </c>
      <c r="BH15" s="11" t="str">
        <f t="shared" si="60"/>
        <v/>
      </c>
      <c r="BI15" s="11" t="str">
        <f t="shared" si="60"/>
        <v/>
      </c>
      <c r="BJ15" s="11" t="str">
        <f t="shared" si="60"/>
        <v/>
      </c>
      <c r="BK15" s="11" t="str">
        <f t="shared" si="60"/>
        <v/>
      </c>
      <c r="BL15" s="11" t="str">
        <f t="shared" si="60"/>
        <v/>
      </c>
      <c r="BM15" s="11" t="str">
        <f t="shared" si="60"/>
        <v/>
      </c>
      <c r="BN15" s="11" t="str">
        <f t="shared" si="60"/>
        <v/>
      </c>
      <c r="BO15" s="11" t="str">
        <f t="shared" si="60"/>
        <v/>
      </c>
      <c r="BP15" s="11" t="str">
        <f t="shared" si="61"/>
        <v/>
      </c>
      <c r="BQ15" s="11" t="str">
        <f t="shared" si="61"/>
        <v/>
      </c>
      <c r="BR15" s="11" t="str">
        <f t="shared" si="61"/>
        <v/>
      </c>
      <c r="BS15" s="11" t="str">
        <f t="shared" si="61"/>
        <v/>
      </c>
      <c r="BT15" s="11" t="str">
        <f t="shared" si="61"/>
        <v/>
      </c>
      <c r="BU15" s="11" t="str">
        <f t="shared" si="61"/>
        <v/>
      </c>
      <c r="BV15" s="11" t="str">
        <f t="shared" si="61"/>
        <v/>
      </c>
      <c r="BW15" s="11" t="str">
        <f t="shared" si="61"/>
        <v/>
      </c>
      <c r="BX15" s="11" t="str">
        <f t="shared" si="61"/>
        <v/>
      </c>
      <c r="BY15" s="11" t="str">
        <f t="shared" si="61"/>
        <v/>
      </c>
      <c r="BZ15" s="11" t="str">
        <f t="shared" si="62"/>
        <v/>
      </c>
      <c r="CA15" s="11" t="str">
        <f t="shared" si="62"/>
        <v/>
      </c>
      <c r="CB15" s="11" t="str">
        <f t="shared" si="62"/>
        <v/>
      </c>
      <c r="CC15" s="11" t="str">
        <f t="shared" si="62"/>
        <v/>
      </c>
      <c r="CD15" s="11" t="str">
        <f t="shared" si="62"/>
        <v/>
      </c>
      <c r="CE15" s="11" t="str">
        <f t="shared" si="62"/>
        <v/>
      </c>
      <c r="CF15" s="11" t="str">
        <f t="shared" si="62"/>
        <v/>
      </c>
      <c r="CG15" s="11" t="str">
        <f t="shared" si="62"/>
        <v/>
      </c>
      <c r="CH15" s="11" t="str">
        <f t="shared" si="62"/>
        <v/>
      </c>
      <c r="CI15" s="11" t="str">
        <f t="shared" si="62"/>
        <v/>
      </c>
      <c r="CJ15" s="11" t="str">
        <f t="shared" si="63"/>
        <v/>
      </c>
      <c r="CK15" s="11" t="str">
        <f t="shared" si="63"/>
        <v/>
      </c>
      <c r="CL15" s="11" t="str">
        <f t="shared" si="63"/>
        <v/>
      </c>
      <c r="CM15" s="11" t="str">
        <f t="shared" si="63"/>
        <v/>
      </c>
      <c r="CN15" s="11" t="str">
        <f t="shared" si="63"/>
        <v/>
      </c>
      <c r="CO15" s="11" t="str">
        <f t="shared" si="63"/>
        <v/>
      </c>
      <c r="CP15" s="11" t="str">
        <f t="shared" si="63"/>
        <v/>
      </c>
      <c r="CQ15" s="11" t="str">
        <f t="shared" si="63"/>
        <v/>
      </c>
      <c r="CR15" s="11" t="str">
        <f t="shared" si="63"/>
        <v/>
      </c>
      <c r="CS15" s="11" t="str">
        <f t="shared" si="63"/>
        <v/>
      </c>
      <c r="CT15" s="11" t="str">
        <f t="shared" si="64"/>
        <v/>
      </c>
      <c r="CU15" s="11" t="str">
        <f t="shared" si="64"/>
        <v/>
      </c>
      <c r="CV15" s="11" t="str">
        <f t="shared" si="64"/>
        <v/>
      </c>
      <c r="CW15" s="11" t="str">
        <f t="shared" si="64"/>
        <v/>
      </c>
      <c r="CX15" s="11" t="str">
        <f t="shared" si="64"/>
        <v/>
      </c>
      <c r="CY15" s="11" t="str">
        <f t="shared" si="64"/>
        <v/>
      </c>
      <c r="CZ15" s="11" t="str">
        <f t="shared" si="64"/>
        <v/>
      </c>
      <c r="DA15" s="11" t="str">
        <f t="shared" si="64"/>
        <v/>
      </c>
      <c r="DB15" s="11" t="str">
        <f t="shared" si="64"/>
        <v/>
      </c>
      <c r="DC15" s="11" t="str">
        <f t="shared" si="64"/>
        <v/>
      </c>
      <c r="DD15" s="11" t="str">
        <f t="shared" si="64"/>
        <v/>
      </c>
      <c r="DE15" s="11" t="str">
        <f t="shared" si="64"/>
        <v/>
      </c>
      <c r="DF15" s="11" t="str">
        <f t="shared" si="64"/>
        <v/>
      </c>
    </row>
    <row r="16" spans="1:110" s="1" customFormat="1" ht="40.15" customHeight="1" x14ac:dyDescent="0.35">
      <c r="A16" s="4"/>
      <c r="B16" s="43" t="s">
        <v>10</v>
      </c>
      <c r="C16" s="13" t="s">
        <v>2</v>
      </c>
      <c r="D16" s="14">
        <f>D12+17</f>
        <v>45982</v>
      </c>
      <c r="E16" s="14">
        <f>Milestones4352[[#This Row],[Ínicio]]+Milestones4352[[#This Row],[Nº Dias]]-1</f>
        <v>45998</v>
      </c>
      <c r="F16" s="15">
        <v>17</v>
      </c>
      <c r="G16" s="13"/>
      <c r="H16" s="11" t="str">
        <f t="shared" si="55"/>
        <v/>
      </c>
      <c r="I16" s="11" t="str">
        <f t="shared" si="55"/>
        <v/>
      </c>
      <c r="J16" s="11" t="str">
        <f t="shared" si="55"/>
        <v/>
      </c>
      <c r="K16" s="11" t="str">
        <f t="shared" si="55"/>
        <v/>
      </c>
      <c r="L16" s="11" t="str">
        <f t="shared" si="55"/>
        <v/>
      </c>
      <c r="M16" s="11" t="str">
        <f t="shared" si="55"/>
        <v/>
      </c>
      <c r="N16" s="11" t="str">
        <f t="shared" si="55"/>
        <v/>
      </c>
      <c r="O16" s="11" t="str">
        <f t="shared" si="55"/>
        <v/>
      </c>
      <c r="P16" s="11" t="str">
        <f t="shared" si="55"/>
        <v/>
      </c>
      <c r="Q16" s="11" t="str">
        <f t="shared" si="55"/>
        <v/>
      </c>
      <c r="R16" s="11" t="str">
        <f t="shared" si="56"/>
        <v/>
      </c>
      <c r="S16" s="11" t="str">
        <f t="shared" si="56"/>
        <v/>
      </c>
      <c r="T16" s="11" t="str">
        <f t="shared" si="56"/>
        <v/>
      </c>
      <c r="U16" s="11" t="str">
        <f t="shared" si="56"/>
        <v/>
      </c>
      <c r="V16" s="11" t="str">
        <f t="shared" si="56"/>
        <v/>
      </c>
      <c r="W16" s="11" t="str">
        <f t="shared" si="56"/>
        <v/>
      </c>
      <c r="X16" s="11" t="str">
        <f t="shared" si="56"/>
        <v/>
      </c>
      <c r="Y16" s="11" t="str">
        <f t="shared" si="56"/>
        <v/>
      </c>
      <c r="Z16" s="11" t="str">
        <f t="shared" si="56"/>
        <v/>
      </c>
      <c r="AA16" s="11" t="str">
        <f t="shared" si="56"/>
        <v/>
      </c>
      <c r="AB16" s="11" t="str">
        <f t="shared" si="57"/>
        <v/>
      </c>
      <c r="AC16" s="11" t="str">
        <f t="shared" si="57"/>
        <v/>
      </c>
      <c r="AD16" s="11" t="str">
        <f t="shared" si="57"/>
        <v/>
      </c>
      <c r="AE16" s="11" t="str">
        <f t="shared" si="57"/>
        <v/>
      </c>
      <c r="AF16" s="11" t="str">
        <f t="shared" si="57"/>
        <v/>
      </c>
      <c r="AG16" s="11" t="str">
        <f t="shared" si="57"/>
        <v/>
      </c>
      <c r="AH16" s="11" t="str">
        <f t="shared" si="57"/>
        <v/>
      </c>
      <c r="AI16" s="11" t="str">
        <f t="shared" si="57"/>
        <v/>
      </c>
      <c r="AJ16" s="11" t="str">
        <f t="shared" si="57"/>
        <v/>
      </c>
      <c r="AK16" s="11" t="str">
        <f t="shared" si="57"/>
        <v/>
      </c>
      <c r="AL16" s="11" t="str">
        <f t="shared" si="58"/>
        <v/>
      </c>
      <c r="AM16" s="11" t="str">
        <f t="shared" si="58"/>
        <v/>
      </c>
      <c r="AN16" s="11" t="str">
        <f t="shared" si="58"/>
        <v/>
      </c>
      <c r="AO16" s="11" t="str">
        <f t="shared" si="58"/>
        <v/>
      </c>
      <c r="AP16" s="11" t="str">
        <f t="shared" si="58"/>
        <v/>
      </c>
      <c r="AQ16" s="11" t="str">
        <f t="shared" si="58"/>
        <v/>
      </c>
      <c r="AR16" s="11" t="str">
        <f t="shared" si="58"/>
        <v/>
      </c>
      <c r="AS16" s="11" t="str">
        <f t="shared" si="58"/>
        <v/>
      </c>
      <c r="AT16" s="11" t="str">
        <f t="shared" si="58"/>
        <v/>
      </c>
      <c r="AU16" s="11" t="str">
        <f t="shared" si="58"/>
        <v/>
      </c>
      <c r="AV16" s="11" t="str">
        <f t="shared" si="59"/>
        <v/>
      </c>
      <c r="AW16" s="11" t="str">
        <f t="shared" si="59"/>
        <v/>
      </c>
      <c r="AX16" s="11" t="str">
        <f t="shared" si="59"/>
        <v/>
      </c>
      <c r="AY16" s="11" t="str">
        <f t="shared" si="59"/>
        <v/>
      </c>
      <c r="AZ16" s="11" t="str">
        <f t="shared" si="59"/>
        <v/>
      </c>
      <c r="BA16" s="11" t="str">
        <f t="shared" si="59"/>
        <v/>
      </c>
      <c r="BB16" s="11" t="str">
        <f t="shared" si="59"/>
        <v/>
      </c>
      <c r="BC16" s="11" t="str">
        <f t="shared" si="59"/>
        <v/>
      </c>
      <c r="BD16" s="11" t="str">
        <f t="shared" si="59"/>
        <v/>
      </c>
      <c r="BE16" s="11" t="str">
        <f t="shared" si="59"/>
        <v/>
      </c>
      <c r="BF16" s="11" t="str">
        <f t="shared" si="60"/>
        <v/>
      </c>
      <c r="BG16" s="11" t="str">
        <f t="shared" si="60"/>
        <v/>
      </c>
      <c r="BH16" s="11" t="str">
        <f t="shared" si="60"/>
        <v/>
      </c>
      <c r="BI16" s="11" t="str">
        <f t="shared" si="60"/>
        <v/>
      </c>
      <c r="BJ16" s="11" t="str">
        <f t="shared" si="60"/>
        <v/>
      </c>
      <c r="BK16" s="11" t="str">
        <f t="shared" si="60"/>
        <v/>
      </c>
      <c r="BL16" s="11" t="str">
        <f t="shared" si="60"/>
        <v/>
      </c>
      <c r="BM16" s="11" t="str">
        <f t="shared" si="60"/>
        <v/>
      </c>
      <c r="BN16" s="11" t="str">
        <f t="shared" si="60"/>
        <v/>
      </c>
      <c r="BO16" s="11" t="str">
        <f t="shared" si="60"/>
        <v/>
      </c>
      <c r="BP16" s="11" t="str">
        <f t="shared" si="61"/>
        <v/>
      </c>
      <c r="BQ16" s="11" t="str">
        <f t="shared" si="61"/>
        <v/>
      </c>
      <c r="BR16" s="11" t="str">
        <f t="shared" si="61"/>
        <v/>
      </c>
      <c r="BS16" s="11" t="str">
        <f t="shared" si="61"/>
        <v/>
      </c>
      <c r="BT16" s="11" t="str">
        <f t="shared" si="61"/>
        <v/>
      </c>
      <c r="BU16" s="11" t="str">
        <f t="shared" si="61"/>
        <v/>
      </c>
      <c r="BV16" s="11" t="str">
        <f t="shared" si="61"/>
        <v/>
      </c>
      <c r="BW16" s="11" t="str">
        <f t="shared" si="61"/>
        <v/>
      </c>
      <c r="BX16" s="11" t="str">
        <f t="shared" si="61"/>
        <v/>
      </c>
      <c r="BY16" s="11" t="str">
        <f t="shared" si="61"/>
        <v/>
      </c>
      <c r="BZ16" s="11" t="str">
        <f t="shared" si="62"/>
        <v/>
      </c>
      <c r="CA16" s="11" t="str">
        <f t="shared" si="62"/>
        <v/>
      </c>
      <c r="CB16" s="11" t="str">
        <f t="shared" si="62"/>
        <v/>
      </c>
      <c r="CC16" s="11" t="str">
        <f t="shared" si="62"/>
        <v/>
      </c>
      <c r="CD16" s="11" t="str">
        <f t="shared" si="62"/>
        <v/>
      </c>
      <c r="CE16" s="11" t="str">
        <f t="shared" si="62"/>
        <v/>
      </c>
      <c r="CF16" s="11" t="str">
        <f t="shared" si="62"/>
        <v/>
      </c>
      <c r="CG16" s="11" t="str">
        <f t="shared" si="62"/>
        <v/>
      </c>
      <c r="CH16" s="11" t="str">
        <f t="shared" si="62"/>
        <v/>
      </c>
      <c r="CI16" s="11" t="str">
        <f t="shared" si="62"/>
        <v/>
      </c>
      <c r="CJ16" s="11" t="str">
        <f t="shared" si="63"/>
        <v/>
      </c>
      <c r="CK16" s="11" t="str">
        <f t="shared" si="63"/>
        <v/>
      </c>
      <c r="CL16" s="11" t="str">
        <f t="shared" si="63"/>
        <v/>
      </c>
      <c r="CM16" s="11" t="str">
        <f t="shared" si="63"/>
        <v/>
      </c>
      <c r="CN16" s="11" t="str">
        <f t="shared" si="63"/>
        <v/>
      </c>
      <c r="CO16" s="11" t="str">
        <f t="shared" si="63"/>
        <v/>
      </c>
      <c r="CP16" s="11" t="str">
        <f t="shared" si="63"/>
        <v/>
      </c>
      <c r="CQ16" s="11" t="str">
        <f t="shared" si="63"/>
        <v/>
      </c>
      <c r="CR16" s="11" t="str">
        <f t="shared" si="63"/>
        <v/>
      </c>
      <c r="CS16" s="11" t="str">
        <f t="shared" si="63"/>
        <v/>
      </c>
      <c r="CT16" s="11" t="str">
        <f t="shared" si="64"/>
        <v/>
      </c>
      <c r="CU16" s="11" t="str">
        <f t="shared" si="64"/>
        <v/>
      </c>
      <c r="CV16" s="11" t="str">
        <f t="shared" si="64"/>
        <v/>
      </c>
      <c r="CW16" s="11" t="str">
        <f t="shared" si="64"/>
        <v/>
      </c>
      <c r="CX16" s="11" t="str">
        <f t="shared" si="64"/>
        <v/>
      </c>
      <c r="CY16" s="11" t="str">
        <f t="shared" si="64"/>
        <v/>
      </c>
      <c r="CZ16" s="11" t="str">
        <f t="shared" si="64"/>
        <v/>
      </c>
      <c r="DA16" s="11" t="str">
        <f t="shared" si="64"/>
        <v/>
      </c>
      <c r="DB16" s="11" t="str">
        <f t="shared" si="64"/>
        <v/>
      </c>
      <c r="DC16" s="11" t="str">
        <f t="shared" si="64"/>
        <v/>
      </c>
      <c r="DD16" s="11" t="str">
        <f t="shared" si="64"/>
        <v/>
      </c>
      <c r="DE16" s="11" t="str">
        <f t="shared" si="64"/>
        <v/>
      </c>
      <c r="DF16" s="11" t="str">
        <f t="shared" si="64"/>
        <v/>
      </c>
    </row>
    <row r="17" spans="1:110" s="1" customFormat="1" ht="40.15" customHeight="1" x14ac:dyDescent="0.35">
      <c r="A17" s="4"/>
      <c r="B17" s="43" t="s">
        <v>11</v>
      </c>
      <c r="C17" s="13" t="s">
        <v>2</v>
      </c>
      <c r="D17" s="14">
        <f>D12+24</f>
        <v>45989</v>
      </c>
      <c r="E17" s="14">
        <f>Milestones4352[[#This Row],[Ínicio]]+Milestones4352[[#This Row],[Nº Dias]]-1</f>
        <v>46005</v>
      </c>
      <c r="F17" s="15">
        <v>17</v>
      </c>
      <c r="G17" s="13"/>
      <c r="H17" s="11" t="str">
        <f t="shared" si="55"/>
        <v/>
      </c>
      <c r="I17" s="11" t="str">
        <f t="shared" si="55"/>
        <v/>
      </c>
      <c r="J17" s="11" t="str">
        <f t="shared" si="55"/>
        <v/>
      </c>
      <c r="K17" s="11" t="str">
        <f t="shared" si="55"/>
        <v/>
      </c>
      <c r="L17" s="11" t="str">
        <f t="shared" si="55"/>
        <v/>
      </c>
      <c r="M17" s="11" t="str">
        <f t="shared" si="55"/>
        <v/>
      </c>
      <c r="N17" s="11" t="str">
        <f t="shared" si="55"/>
        <v/>
      </c>
      <c r="O17" s="11" t="str">
        <f t="shared" si="55"/>
        <v/>
      </c>
      <c r="P17" s="11" t="str">
        <f t="shared" si="55"/>
        <v/>
      </c>
      <c r="Q17" s="11" t="str">
        <f t="shared" si="55"/>
        <v/>
      </c>
      <c r="R17" s="11" t="str">
        <f t="shared" si="56"/>
        <v/>
      </c>
      <c r="S17" s="11" t="str">
        <f t="shared" si="56"/>
        <v/>
      </c>
      <c r="T17" s="11" t="str">
        <f t="shared" si="56"/>
        <v/>
      </c>
      <c r="U17" s="11" t="str">
        <f t="shared" si="56"/>
        <v/>
      </c>
      <c r="V17" s="11" t="str">
        <f t="shared" si="56"/>
        <v/>
      </c>
      <c r="W17" s="11" t="str">
        <f t="shared" si="56"/>
        <v/>
      </c>
      <c r="X17" s="11" t="str">
        <f t="shared" si="56"/>
        <v/>
      </c>
      <c r="Y17" s="11" t="str">
        <f t="shared" si="56"/>
        <v/>
      </c>
      <c r="Z17" s="11" t="str">
        <f t="shared" si="56"/>
        <v/>
      </c>
      <c r="AA17" s="11" t="str">
        <f t="shared" si="56"/>
        <v/>
      </c>
      <c r="AB17" s="11" t="str">
        <f t="shared" si="57"/>
        <v/>
      </c>
      <c r="AC17" s="11" t="str">
        <f t="shared" si="57"/>
        <v/>
      </c>
      <c r="AD17" s="11" t="str">
        <f t="shared" si="57"/>
        <v/>
      </c>
      <c r="AE17" s="11" t="str">
        <f t="shared" si="57"/>
        <v/>
      </c>
      <c r="AF17" s="11" t="str">
        <f t="shared" si="57"/>
        <v/>
      </c>
      <c r="AG17" s="11" t="str">
        <f t="shared" si="57"/>
        <v/>
      </c>
      <c r="AH17" s="11" t="str">
        <f t="shared" si="57"/>
        <v/>
      </c>
      <c r="AI17" s="11" t="str">
        <f t="shared" si="57"/>
        <v/>
      </c>
      <c r="AJ17" s="11" t="str">
        <f t="shared" si="57"/>
        <v/>
      </c>
      <c r="AK17" s="11" t="str">
        <f t="shared" si="57"/>
        <v/>
      </c>
      <c r="AL17" s="11" t="str">
        <f t="shared" si="58"/>
        <v/>
      </c>
      <c r="AM17" s="11" t="str">
        <f t="shared" si="58"/>
        <v/>
      </c>
      <c r="AN17" s="11" t="str">
        <f t="shared" si="58"/>
        <v/>
      </c>
      <c r="AO17" s="11" t="str">
        <f t="shared" si="58"/>
        <v/>
      </c>
      <c r="AP17" s="11" t="str">
        <f t="shared" si="58"/>
        <v/>
      </c>
      <c r="AQ17" s="11" t="str">
        <f t="shared" si="58"/>
        <v/>
      </c>
      <c r="AR17" s="11" t="str">
        <f t="shared" si="58"/>
        <v/>
      </c>
      <c r="AS17" s="11" t="str">
        <f t="shared" si="58"/>
        <v/>
      </c>
      <c r="AT17" s="11" t="str">
        <f t="shared" si="58"/>
        <v/>
      </c>
      <c r="AU17" s="11" t="str">
        <f t="shared" si="58"/>
        <v/>
      </c>
      <c r="AV17" s="11" t="str">
        <f t="shared" si="59"/>
        <v/>
      </c>
      <c r="AW17" s="11" t="str">
        <f t="shared" si="59"/>
        <v/>
      </c>
      <c r="AX17" s="11" t="str">
        <f t="shared" si="59"/>
        <v/>
      </c>
      <c r="AY17" s="11" t="str">
        <f t="shared" si="59"/>
        <v/>
      </c>
      <c r="AZ17" s="11" t="str">
        <f t="shared" si="59"/>
        <v/>
      </c>
      <c r="BA17" s="11" t="str">
        <f t="shared" si="59"/>
        <v/>
      </c>
      <c r="BB17" s="11" t="str">
        <f t="shared" si="59"/>
        <v/>
      </c>
      <c r="BC17" s="11" t="str">
        <f t="shared" si="59"/>
        <v/>
      </c>
      <c r="BD17" s="11" t="str">
        <f t="shared" si="59"/>
        <v/>
      </c>
      <c r="BE17" s="11" t="str">
        <f t="shared" si="59"/>
        <v/>
      </c>
      <c r="BF17" s="11" t="str">
        <f t="shared" si="60"/>
        <v/>
      </c>
      <c r="BG17" s="11" t="str">
        <f t="shared" si="60"/>
        <v/>
      </c>
      <c r="BH17" s="11" t="str">
        <f t="shared" si="60"/>
        <v/>
      </c>
      <c r="BI17" s="11" t="str">
        <f t="shared" si="60"/>
        <v/>
      </c>
      <c r="BJ17" s="11" t="str">
        <f t="shared" si="60"/>
        <v/>
      </c>
      <c r="BK17" s="11" t="str">
        <f t="shared" si="60"/>
        <v/>
      </c>
      <c r="BL17" s="11" t="str">
        <f t="shared" si="60"/>
        <v/>
      </c>
      <c r="BM17" s="11" t="str">
        <f t="shared" si="60"/>
        <v/>
      </c>
      <c r="BN17" s="11" t="str">
        <f t="shared" si="60"/>
        <v/>
      </c>
      <c r="BO17" s="11" t="str">
        <f t="shared" si="60"/>
        <v/>
      </c>
      <c r="BP17" s="11" t="str">
        <f t="shared" si="61"/>
        <v/>
      </c>
      <c r="BQ17" s="11" t="str">
        <f t="shared" si="61"/>
        <v/>
      </c>
      <c r="BR17" s="11" t="str">
        <f t="shared" si="61"/>
        <v/>
      </c>
      <c r="BS17" s="11" t="str">
        <f t="shared" si="61"/>
        <v/>
      </c>
      <c r="BT17" s="11" t="str">
        <f t="shared" si="61"/>
        <v/>
      </c>
      <c r="BU17" s="11" t="str">
        <f t="shared" si="61"/>
        <v/>
      </c>
      <c r="BV17" s="11" t="str">
        <f t="shared" si="61"/>
        <v/>
      </c>
      <c r="BW17" s="11" t="str">
        <f t="shared" si="61"/>
        <v/>
      </c>
      <c r="BX17" s="11" t="str">
        <f t="shared" si="61"/>
        <v/>
      </c>
      <c r="BY17" s="11" t="str">
        <f t="shared" si="61"/>
        <v/>
      </c>
      <c r="BZ17" s="11" t="str">
        <f t="shared" si="62"/>
        <v/>
      </c>
      <c r="CA17" s="11" t="str">
        <f t="shared" si="62"/>
        <v/>
      </c>
      <c r="CB17" s="11" t="str">
        <f t="shared" si="62"/>
        <v/>
      </c>
      <c r="CC17" s="11" t="str">
        <f t="shared" si="62"/>
        <v/>
      </c>
      <c r="CD17" s="11" t="str">
        <f t="shared" si="62"/>
        <v/>
      </c>
      <c r="CE17" s="11" t="str">
        <f t="shared" si="62"/>
        <v/>
      </c>
      <c r="CF17" s="11" t="str">
        <f t="shared" si="62"/>
        <v/>
      </c>
      <c r="CG17" s="11" t="str">
        <f t="shared" si="62"/>
        <v/>
      </c>
      <c r="CH17" s="11" t="str">
        <f t="shared" si="62"/>
        <v/>
      </c>
      <c r="CI17" s="11" t="str">
        <f t="shared" si="62"/>
        <v/>
      </c>
      <c r="CJ17" s="11" t="str">
        <f t="shared" si="63"/>
        <v/>
      </c>
      <c r="CK17" s="11" t="str">
        <f t="shared" si="63"/>
        <v/>
      </c>
      <c r="CL17" s="11" t="str">
        <f t="shared" si="63"/>
        <v/>
      </c>
      <c r="CM17" s="11" t="str">
        <f t="shared" si="63"/>
        <v/>
      </c>
      <c r="CN17" s="11" t="str">
        <f t="shared" si="63"/>
        <v/>
      </c>
      <c r="CO17" s="11" t="str">
        <f t="shared" si="63"/>
        <v/>
      </c>
      <c r="CP17" s="11" t="str">
        <f t="shared" si="63"/>
        <v/>
      </c>
      <c r="CQ17" s="11" t="str">
        <f t="shared" si="63"/>
        <v/>
      </c>
      <c r="CR17" s="11" t="str">
        <f t="shared" si="63"/>
        <v/>
      </c>
      <c r="CS17" s="11" t="str">
        <f t="shared" si="63"/>
        <v/>
      </c>
      <c r="CT17" s="11" t="str">
        <f t="shared" si="64"/>
        <v/>
      </c>
      <c r="CU17" s="11" t="str">
        <f t="shared" si="64"/>
        <v/>
      </c>
      <c r="CV17" s="11" t="str">
        <f t="shared" si="64"/>
        <v/>
      </c>
      <c r="CW17" s="11" t="str">
        <f t="shared" si="64"/>
        <v/>
      </c>
      <c r="CX17" s="11" t="str">
        <f t="shared" si="64"/>
        <v/>
      </c>
      <c r="CY17" s="11" t="str">
        <f t="shared" si="64"/>
        <v/>
      </c>
      <c r="CZ17" s="11" t="str">
        <f t="shared" si="64"/>
        <v/>
      </c>
      <c r="DA17" s="11" t="str">
        <f t="shared" si="64"/>
        <v/>
      </c>
      <c r="DB17" s="11" t="str">
        <f t="shared" si="64"/>
        <v/>
      </c>
      <c r="DC17" s="11" t="str">
        <f t="shared" si="64"/>
        <v/>
      </c>
      <c r="DD17" s="11" t="str">
        <f t="shared" si="64"/>
        <v/>
      </c>
      <c r="DE17" s="11" t="str">
        <f t="shared" si="64"/>
        <v/>
      </c>
      <c r="DF17" s="11" t="str">
        <f t="shared" si="64"/>
        <v/>
      </c>
    </row>
    <row r="18" spans="1:110" s="1" customFormat="1" ht="40.15" customHeight="1" x14ac:dyDescent="0.35">
      <c r="A18" s="5"/>
      <c r="B18" s="43" t="s">
        <v>13</v>
      </c>
      <c r="C18" s="13" t="s">
        <v>2</v>
      </c>
      <c r="D18" s="14">
        <v>45989</v>
      </c>
      <c r="E18" s="14">
        <f>Milestones4352[[#This Row],[Ínicio]]+Milestones4352[[#This Row],[Nº Dias]]-1</f>
        <v>46005</v>
      </c>
      <c r="F18" s="15">
        <v>17</v>
      </c>
      <c r="G18" s="13"/>
      <c r="H18" s="11" t="str">
        <f t="shared" si="55"/>
        <v/>
      </c>
      <c r="I18" s="11" t="str">
        <f t="shared" si="55"/>
        <v/>
      </c>
      <c r="J18" s="11" t="str">
        <f t="shared" si="55"/>
        <v/>
      </c>
      <c r="K18" s="11" t="str">
        <f t="shared" si="55"/>
        <v/>
      </c>
      <c r="L18" s="11" t="str">
        <f t="shared" si="55"/>
        <v/>
      </c>
      <c r="M18" s="11" t="str">
        <f t="shared" si="55"/>
        <v/>
      </c>
      <c r="N18" s="11" t="str">
        <f t="shared" si="55"/>
        <v/>
      </c>
      <c r="O18" s="11" t="str">
        <f t="shared" si="55"/>
        <v/>
      </c>
      <c r="P18" s="11" t="str">
        <f t="shared" si="55"/>
        <v/>
      </c>
      <c r="Q18" s="11" t="str">
        <f t="shared" si="55"/>
        <v/>
      </c>
      <c r="R18" s="11" t="str">
        <f t="shared" si="56"/>
        <v/>
      </c>
      <c r="S18" s="11" t="str">
        <f t="shared" si="56"/>
        <v/>
      </c>
      <c r="T18" s="11" t="str">
        <f t="shared" si="56"/>
        <v/>
      </c>
      <c r="U18" s="11" t="str">
        <f t="shared" si="56"/>
        <v/>
      </c>
      <c r="V18" s="11" t="str">
        <f t="shared" si="56"/>
        <v/>
      </c>
      <c r="W18" s="11" t="str">
        <f t="shared" si="56"/>
        <v/>
      </c>
      <c r="X18" s="11" t="str">
        <f t="shared" si="56"/>
        <v/>
      </c>
      <c r="Y18" s="11" t="str">
        <f t="shared" si="56"/>
        <v/>
      </c>
      <c r="Z18" s="11" t="str">
        <f t="shared" si="56"/>
        <v/>
      </c>
      <c r="AA18" s="11" t="str">
        <f t="shared" si="56"/>
        <v/>
      </c>
      <c r="AB18" s="11" t="str">
        <f t="shared" si="57"/>
        <v/>
      </c>
      <c r="AC18" s="11" t="str">
        <f t="shared" si="57"/>
        <v/>
      </c>
      <c r="AD18" s="11" t="str">
        <f t="shared" si="57"/>
        <v/>
      </c>
      <c r="AE18" s="11" t="str">
        <f t="shared" si="57"/>
        <v/>
      </c>
      <c r="AF18" s="11" t="str">
        <f t="shared" si="57"/>
        <v/>
      </c>
      <c r="AG18" s="11" t="str">
        <f t="shared" si="57"/>
        <v/>
      </c>
      <c r="AH18" s="11" t="str">
        <f t="shared" si="57"/>
        <v/>
      </c>
      <c r="AI18" s="11" t="str">
        <f t="shared" si="57"/>
        <v/>
      </c>
      <c r="AJ18" s="11" t="str">
        <f t="shared" si="57"/>
        <v/>
      </c>
      <c r="AK18" s="11" t="str">
        <f t="shared" si="57"/>
        <v/>
      </c>
      <c r="AL18" s="11" t="str">
        <f t="shared" si="58"/>
        <v/>
      </c>
      <c r="AM18" s="11" t="str">
        <f t="shared" si="58"/>
        <v/>
      </c>
      <c r="AN18" s="11" t="str">
        <f t="shared" si="58"/>
        <v/>
      </c>
      <c r="AO18" s="11" t="str">
        <f t="shared" si="58"/>
        <v/>
      </c>
      <c r="AP18" s="11" t="str">
        <f t="shared" si="58"/>
        <v/>
      </c>
      <c r="AQ18" s="11" t="str">
        <f t="shared" si="58"/>
        <v/>
      </c>
      <c r="AR18" s="11" t="str">
        <f t="shared" si="58"/>
        <v/>
      </c>
      <c r="AS18" s="11" t="str">
        <f t="shared" si="58"/>
        <v/>
      </c>
      <c r="AT18" s="11" t="str">
        <f t="shared" si="58"/>
        <v/>
      </c>
      <c r="AU18" s="11" t="str">
        <f t="shared" si="58"/>
        <v/>
      </c>
      <c r="AV18" s="11" t="str">
        <f t="shared" si="59"/>
        <v/>
      </c>
      <c r="AW18" s="11" t="str">
        <f t="shared" si="59"/>
        <v/>
      </c>
      <c r="AX18" s="11" t="str">
        <f t="shared" si="59"/>
        <v/>
      </c>
      <c r="AY18" s="11" t="str">
        <f t="shared" si="59"/>
        <v/>
      </c>
      <c r="AZ18" s="11" t="str">
        <f t="shared" si="59"/>
        <v/>
      </c>
      <c r="BA18" s="11" t="str">
        <f t="shared" si="59"/>
        <v/>
      </c>
      <c r="BB18" s="11" t="str">
        <f t="shared" si="59"/>
        <v/>
      </c>
      <c r="BC18" s="11" t="str">
        <f t="shared" si="59"/>
        <v/>
      </c>
      <c r="BD18" s="11" t="str">
        <f t="shared" si="59"/>
        <v/>
      </c>
      <c r="BE18" s="11" t="str">
        <f t="shared" si="59"/>
        <v/>
      </c>
      <c r="BF18" s="11" t="str">
        <f t="shared" si="60"/>
        <v/>
      </c>
      <c r="BG18" s="11" t="str">
        <f t="shared" si="60"/>
        <v/>
      </c>
      <c r="BH18" s="11" t="str">
        <f t="shared" si="60"/>
        <v/>
      </c>
      <c r="BI18" s="11" t="str">
        <f t="shared" si="60"/>
        <v/>
      </c>
      <c r="BJ18" s="11" t="str">
        <f t="shared" si="60"/>
        <v/>
      </c>
      <c r="BK18" s="11" t="str">
        <f t="shared" si="60"/>
        <v/>
      </c>
      <c r="BL18" s="11" t="str">
        <f t="shared" si="60"/>
        <v/>
      </c>
      <c r="BM18" s="11" t="str">
        <f t="shared" si="60"/>
        <v/>
      </c>
      <c r="BN18" s="11" t="str">
        <f t="shared" si="60"/>
        <v/>
      </c>
      <c r="BO18" s="11" t="str">
        <f t="shared" si="60"/>
        <v/>
      </c>
      <c r="BP18" s="11" t="str">
        <f t="shared" si="61"/>
        <v/>
      </c>
      <c r="BQ18" s="11" t="str">
        <f t="shared" si="61"/>
        <v/>
      </c>
      <c r="BR18" s="11" t="str">
        <f t="shared" si="61"/>
        <v/>
      </c>
      <c r="BS18" s="11" t="str">
        <f t="shared" si="61"/>
        <v/>
      </c>
      <c r="BT18" s="11" t="str">
        <f t="shared" si="61"/>
        <v/>
      </c>
      <c r="BU18" s="11" t="str">
        <f t="shared" si="61"/>
        <v/>
      </c>
      <c r="BV18" s="11" t="str">
        <f t="shared" si="61"/>
        <v/>
      </c>
      <c r="BW18" s="11" t="str">
        <f t="shared" si="61"/>
        <v/>
      </c>
      <c r="BX18" s="11" t="str">
        <f t="shared" si="61"/>
        <v/>
      </c>
      <c r="BY18" s="11" t="str">
        <f t="shared" si="61"/>
        <v/>
      </c>
      <c r="BZ18" s="11" t="str">
        <f t="shared" si="62"/>
        <v/>
      </c>
      <c r="CA18" s="11" t="str">
        <f t="shared" si="62"/>
        <v/>
      </c>
      <c r="CB18" s="11" t="str">
        <f t="shared" si="62"/>
        <v/>
      </c>
      <c r="CC18" s="11" t="str">
        <f t="shared" si="62"/>
        <v/>
      </c>
      <c r="CD18" s="11" t="str">
        <f t="shared" si="62"/>
        <v/>
      </c>
      <c r="CE18" s="11" t="str">
        <f t="shared" si="62"/>
        <v/>
      </c>
      <c r="CF18" s="11" t="str">
        <f t="shared" si="62"/>
        <v/>
      </c>
      <c r="CG18" s="11" t="str">
        <f t="shared" si="62"/>
        <v/>
      </c>
      <c r="CH18" s="11" t="str">
        <f t="shared" si="62"/>
        <v/>
      </c>
      <c r="CI18" s="11" t="str">
        <f t="shared" si="62"/>
        <v/>
      </c>
      <c r="CJ18" s="11" t="str">
        <f t="shared" si="63"/>
        <v/>
      </c>
      <c r="CK18" s="11" t="str">
        <f t="shared" si="63"/>
        <v/>
      </c>
      <c r="CL18" s="11" t="str">
        <f t="shared" si="63"/>
        <v/>
      </c>
      <c r="CM18" s="11" t="str">
        <f t="shared" si="63"/>
        <v/>
      </c>
      <c r="CN18" s="11" t="str">
        <f t="shared" si="63"/>
        <v/>
      </c>
      <c r="CO18" s="11" t="str">
        <f t="shared" si="63"/>
        <v/>
      </c>
      <c r="CP18" s="11" t="str">
        <f t="shared" si="63"/>
        <v/>
      </c>
      <c r="CQ18" s="11" t="str">
        <f t="shared" si="63"/>
        <v/>
      </c>
      <c r="CR18" s="11" t="str">
        <f t="shared" si="63"/>
        <v/>
      </c>
      <c r="CS18" s="11" t="str">
        <f t="shared" si="63"/>
        <v/>
      </c>
      <c r="CT18" s="11" t="str">
        <f t="shared" si="64"/>
        <v/>
      </c>
      <c r="CU18" s="11" t="str">
        <f t="shared" si="64"/>
        <v/>
      </c>
      <c r="CV18" s="11" t="str">
        <f t="shared" si="64"/>
        <v/>
      </c>
      <c r="CW18" s="11" t="str">
        <f t="shared" si="64"/>
        <v/>
      </c>
      <c r="CX18" s="11" t="str">
        <f t="shared" si="64"/>
        <v/>
      </c>
      <c r="CY18" s="11" t="str">
        <f t="shared" si="64"/>
        <v/>
      </c>
      <c r="CZ18" s="11" t="str">
        <f t="shared" si="64"/>
        <v/>
      </c>
      <c r="DA18" s="11" t="str">
        <f t="shared" si="64"/>
        <v/>
      </c>
      <c r="DB18" s="11" t="str">
        <f t="shared" si="64"/>
        <v/>
      </c>
      <c r="DC18" s="11" t="str">
        <f t="shared" si="64"/>
        <v/>
      </c>
      <c r="DD18" s="11" t="str">
        <f t="shared" si="64"/>
        <v/>
      </c>
      <c r="DE18" s="11" t="str">
        <f t="shared" si="64"/>
        <v/>
      </c>
      <c r="DF18" s="11" t="str">
        <f t="shared" si="64"/>
        <v/>
      </c>
    </row>
    <row r="19" spans="1:110" s="1" customFormat="1" ht="40.15" customHeight="1" x14ac:dyDescent="0.35">
      <c r="A19" s="4"/>
      <c r="B19" s="43" t="s">
        <v>14</v>
      </c>
      <c r="C19" s="13" t="s">
        <v>2</v>
      </c>
      <c r="D19" s="14">
        <v>45998</v>
      </c>
      <c r="E19" s="14">
        <f>Milestones4352[[#This Row],[Ínicio]]+Milestones4352[[#This Row],[Nº Dias]]-1</f>
        <v>46007</v>
      </c>
      <c r="F19" s="15">
        <v>10</v>
      </c>
      <c r="G19" s="13"/>
      <c r="H19" s="11" t="str">
        <f t="shared" si="55"/>
        <v/>
      </c>
      <c r="I19" s="11" t="str">
        <f t="shared" si="55"/>
        <v/>
      </c>
      <c r="J19" s="11" t="str">
        <f t="shared" si="55"/>
        <v/>
      </c>
      <c r="K19" s="11" t="str">
        <f t="shared" si="55"/>
        <v/>
      </c>
      <c r="L19" s="11" t="str">
        <f t="shared" si="55"/>
        <v/>
      </c>
      <c r="M19" s="11" t="str">
        <f t="shared" si="55"/>
        <v/>
      </c>
      <c r="N19" s="11" t="str">
        <f t="shared" si="55"/>
        <v/>
      </c>
      <c r="O19" s="11" t="str">
        <f t="shared" si="55"/>
        <v/>
      </c>
      <c r="P19" s="11" t="str">
        <f t="shared" si="55"/>
        <v/>
      </c>
      <c r="Q19" s="11" t="str">
        <f t="shared" si="55"/>
        <v/>
      </c>
      <c r="R19" s="11" t="str">
        <f t="shared" si="56"/>
        <v/>
      </c>
      <c r="S19" s="11" t="str">
        <f t="shared" si="56"/>
        <v/>
      </c>
      <c r="T19" s="11" t="str">
        <f t="shared" si="56"/>
        <v/>
      </c>
      <c r="U19" s="11" t="str">
        <f t="shared" si="56"/>
        <v/>
      </c>
      <c r="V19" s="11" t="str">
        <f t="shared" si="56"/>
        <v/>
      </c>
      <c r="W19" s="11" t="str">
        <f t="shared" si="56"/>
        <v/>
      </c>
      <c r="X19" s="11" t="str">
        <f t="shared" si="56"/>
        <v/>
      </c>
      <c r="Y19" s="11" t="str">
        <f t="shared" si="56"/>
        <v/>
      </c>
      <c r="Z19" s="11" t="str">
        <f t="shared" si="56"/>
        <v/>
      </c>
      <c r="AA19" s="11" t="str">
        <f t="shared" si="56"/>
        <v/>
      </c>
      <c r="AB19" s="11" t="str">
        <f t="shared" si="57"/>
        <v/>
      </c>
      <c r="AC19" s="11" t="str">
        <f t="shared" si="57"/>
        <v/>
      </c>
      <c r="AD19" s="11" t="str">
        <f t="shared" si="57"/>
        <v/>
      </c>
      <c r="AE19" s="11" t="str">
        <f t="shared" si="57"/>
        <v/>
      </c>
      <c r="AF19" s="11" t="str">
        <f t="shared" si="57"/>
        <v/>
      </c>
      <c r="AG19" s="11" t="str">
        <f t="shared" si="57"/>
        <v/>
      </c>
      <c r="AH19" s="11" t="str">
        <f t="shared" si="57"/>
        <v/>
      </c>
      <c r="AI19" s="11" t="str">
        <f t="shared" si="57"/>
        <v/>
      </c>
      <c r="AJ19" s="11" t="str">
        <f t="shared" si="57"/>
        <v/>
      </c>
      <c r="AK19" s="11" t="str">
        <f t="shared" si="57"/>
        <v/>
      </c>
      <c r="AL19" s="11" t="str">
        <f t="shared" si="58"/>
        <v/>
      </c>
      <c r="AM19" s="11" t="str">
        <f t="shared" si="58"/>
        <v/>
      </c>
      <c r="AN19" s="11" t="str">
        <f t="shared" si="58"/>
        <v/>
      </c>
      <c r="AO19" s="11" t="str">
        <f t="shared" si="58"/>
        <v/>
      </c>
      <c r="AP19" s="11" t="str">
        <f t="shared" si="58"/>
        <v/>
      </c>
      <c r="AQ19" s="11" t="str">
        <f t="shared" si="58"/>
        <v/>
      </c>
      <c r="AR19" s="11" t="str">
        <f t="shared" si="58"/>
        <v/>
      </c>
      <c r="AS19" s="11" t="str">
        <f t="shared" si="58"/>
        <v/>
      </c>
      <c r="AT19" s="11" t="str">
        <f t="shared" si="58"/>
        <v/>
      </c>
      <c r="AU19" s="11" t="str">
        <f t="shared" si="58"/>
        <v/>
      </c>
      <c r="AV19" s="11" t="str">
        <f t="shared" si="59"/>
        <v/>
      </c>
      <c r="AW19" s="11" t="str">
        <f t="shared" si="59"/>
        <v/>
      </c>
      <c r="AX19" s="11" t="str">
        <f t="shared" si="59"/>
        <v/>
      </c>
      <c r="AY19" s="11" t="str">
        <f t="shared" si="59"/>
        <v/>
      </c>
      <c r="AZ19" s="11" t="str">
        <f t="shared" si="59"/>
        <v/>
      </c>
      <c r="BA19" s="11" t="str">
        <f t="shared" si="59"/>
        <v/>
      </c>
      <c r="BB19" s="11" t="str">
        <f t="shared" si="59"/>
        <v/>
      </c>
      <c r="BC19" s="11" t="str">
        <f t="shared" si="59"/>
        <v/>
      </c>
      <c r="BD19" s="11" t="str">
        <f t="shared" si="59"/>
        <v/>
      </c>
      <c r="BE19" s="11" t="str">
        <f t="shared" si="59"/>
        <v/>
      </c>
      <c r="BF19" s="11" t="str">
        <f t="shared" si="60"/>
        <v/>
      </c>
      <c r="BG19" s="11" t="str">
        <f t="shared" si="60"/>
        <v/>
      </c>
      <c r="BH19" s="11" t="str">
        <f t="shared" si="60"/>
        <v/>
      </c>
      <c r="BI19" s="11" t="str">
        <f t="shared" si="60"/>
        <v/>
      </c>
      <c r="BJ19" s="11" t="str">
        <f t="shared" si="60"/>
        <v/>
      </c>
      <c r="BK19" s="11" t="str">
        <f t="shared" si="60"/>
        <v/>
      </c>
      <c r="BL19" s="11" t="str">
        <f t="shared" si="60"/>
        <v/>
      </c>
      <c r="BM19" s="11" t="str">
        <f t="shared" si="60"/>
        <v/>
      </c>
      <c r="BN19" s="11" t="str">
        <f t="shared" si="60"/>
        <v/>
      </c>
      <c r="BO19" s="11" t="str">
        <f t="shared" si="60"/>
        <v/>
      </c>
      <c r="BP19" s="11" t="str">
        <f t="shared" si="61"/>
        <v/>
      </c>
      <c r="BQ19" s="11" t="str">
        <f t="shared" si="61"/>
        <v/>
      </c>
      <c r="BR19" s="11" t="str">
        <f t="shared" si="61"/>
        <v/>
      </c>
      <c r="BS19" s="11" t="str">
        <f t="shared" si="61"/>
        <v/>
      </c>
      <c r="BT19" s="11" t="str">
        <f t="shared" si="61"/>
        <v/>
      </c>
      <c r="BU19" s="11" t="str">
        <f t="shared" si="61"/>
        <v/>
      </c>
      <c r="BV19" s="11" t="str">
        <f t="shared" si="61"/>
        <v/>
      </c>
      <c r="BW19" s="11" t="str">
        <f t="shared" si="61"/>
        <v/>
      </c>
      <c r="BX19" s="11" t="str">
        <f t="shared" si="61"/>
        <v/>
      </c>
      <c r="BY19" s="11" t="str">
        <f t="shared" si="61"/>
        <v/>
      </c>
      <c r="BZ19" s="11" t="str">
        <f t="shared" si="62"/>
        <v/>
      </c>
      <c r="CA19" s="11" t="str">
        <f t="shared" si="62"/>
        <v/>
      </c>
      <c r="CB19" s="11" t="str">
        <f t="shared" si="62"/>
        <v/>
      </c>
      <c r="CC19" s="11" t="str">
        <f t="shared" si="62"/>
        <v/>
      </c>
      <c r="CD19" s="11" t="str">
        <f t="shared" si="62"/>
        <v/>
      </c>
      <c r="CE19" s="11" t="str">
        <f t="shared" si="62"/>
        <v/>
      </c>
      <c r="CF19" s="11" t="str">
        <f t="shared" si="62"/>
        <v/>
      </c>
      <c r="CG19" s="11" t="str">
        <f t="shared" si="62"/>
        <v/>
      </c>
      <c r="CH19" s="11" t="str">
        <f t="shared" si="62"/>
        <v/>
      </c>
      <c r="CI19" s="11" t="str">
        <f t="shared" si="62"/>
        <v/>
      </c>
      <c r="CJ19" s="11" t="str">
        <f t="shared" si="63"/>
        <v/>
      </c>
      <c r="CK19" s="11" t="str">
        <f t="shared" si="63"/>
        <v/>
      </c>
      <c r="CL19" s="11" t="str">
        <f t="shared" si="63"/>
        <v/>
      </c>
      <c r="CM19" s="11" t="str">
        <f t="shared" si="63"/>
        <v/>
      </c>
      <c r="CN19" s="11" t="str">
        <f t="shared" si="63"/>
        <v/>
      </c>
      <c r="CO19" s="11" t="str">
        <f t="shared" si="63"/>
        <v/>
      </c>
      <c r="CP19" s="11" t="str">
        <f t="shared" si="63"/>
        <v/>
      </c>
      <c r="CQ19" s="11" t="str">
        <f t="shared" si="63"/>
        <v/>
      </c>
      <c r="CR19" s="11" t="str">
        <f t="shared" si="63"/>
        <v/>
      </c>
      <c r="CS19" s="11" t="str">
        <f t="shared" si="63"/>
        <v/>
      </c>
      <c r="CT19" s="11" t="str">
        <f t="shared" si="64"/>
        <v/>
      </c>
      <c r="CU19" s="11" t="str">
        <f t="shared" si="64"/>
        <v/>
      </c>
      <c r="CV19" s="11" t="str">
        <f t="shared" si="64"/>
        <v/>
      </c>
      <c r="CW19" s="11" t="str">
        <f t="shared" si="64"/>
        <v/>
      </c>
      <c r="CX19" s="11" t="str">
        <f t="shared" si="64"/>
        <v/>
      </c>
      <c r="CY19" s="11" t="str">
        <f t="shared" si="64"/>
        <v/>
      </c>
      <c r="CZ19" s="11" t="str">
        <f t="shared" si="64"/>
        <v/>
      </c>
      <c r="DA19" s="11" t="str">
        <f t="shared" si="64"/>
        <v/>
      </c>
      <c r="DB19" s="11" t="str">
        <f t="shared" si="64"/>
        <v/>
      </c>
      <c r="DC19" s="11" t="str">
        <f t="shared" si="64"/>
        <v/>
      </c>
      <c r="DD19" s="11" t="str">
        <f t="shared" si="64"/>
        <v/>
      </c>
      <c r="DE19" s="11" t="str">
        <f t="shared" si="64"/>
        <v/>
      </c>
      <c r="DF19" s="11" t="str">
        <f t="shared" si="64"/>
        <v/>
      </c>
    </row>
    <row r="20" spans="1:110" s="1" customFormat="1" ht="40.15" customHeight="1" x14ac:dyDescent="0.35">
      <c r="A20" s="4"/>
      <c r="B20" s="42" t="s">
        <v>21</v>
      </c>
      <c r="C20" s="13" t="s">
        <v>1</v>
      </c>
      <c r="D20" s="46">
        <v>46059</v>
      </c>
      <c r="E20" s="14">
        <f>Milestones4352[[#This Row],[Ínicio]]+Milestones4352[[#This Row],[Nº Dias]]-1</f>
        <v>46059</v>
      </c>
      <c r="F20" s="47">
        <v>1</v>
      </c>
      <c r="G20" s="13"/>
      <c r="H20" s="11" t="str">
        <f t="shared" si="55"/>
        <v/>
      </c>
      <c r="I20" s="11" t="str">
        <f t="shared" si="55"/>
        <v/>
      </c>
      <c r="J20" s="11" t="str">
        <f t="shared" si="55"/>
        <v/>
      </c>
      <c r="K20" s="11" t="str">
        <f t="shared" si="55"/>
        <v/>
      </c>
      <c r="L20" s="11" t="str">
        <f t="shared" si="55"/>
        <v/>
      </c>
      <c r="M20" s="11" t="str">
        <f t="shared" si="55"/>
        <v/>
      </c>
      <c r="N20" s="11" t="str">
        <f t="shared" si="55"/>
        <v/>
      </c>
      <c r="O20" s="11" t="str">
        <f t="shared" si="55"/>
        <v/>
      </c>
      <c r="P20" s="11" t="str">
        <f t="shared" si="55"/>
        <v/>
      </c>
      <c r="Q20" s="11" t="str">
        <f t="shared" si="55"/>
        <v/>
      </c>
      <c r="R20" s="11" t="str">
        <f t="shared" si="56"/>
        <v/>
      </c>
      <c r="S20" s="11" t="str">
        <f t="shared" si="56"/>
        <v/>
      </c>
      <c r="T20" s="11" t="str">
        <f t="shared" si="56"/>
        <v/>
      </c>
      <c r="U20" s="11" t="str">
        <f t="shared" si="56"/>
        <v/>
      </c>
      <c r="V20" s="11" t="str">
        <f t="shared" si="56"/>
        <v/>
      </c>
      <c r="W20" s="11" t="str">
        <f t="shared" si="56"/>
        <v/>
      </c>
      <c r="X20" s="11" t="str">
        <f t="shared" si="56"/>
        <v/>
      </c>
      <c r="Y20" s="11" t="str">
        <f t="shared" si="56"/>
        <v/>
      </c>
      <c r="Z20" s="11" t="str">
        <f t="shared" si="56"/>
        <v/>
      </c>
      <c r="AA20" s="11" t="str">
        <f t="shared" si="56"/>
        <v/>
      </c>
      <c r="AB20" s="11" t="str">
        <f t="shared" si="57"/>
        <v/>
      </c>
      <c r="AC20" s="11" t="str">
        <f t="shared" si="57"/>
        <v/>
      </c>
      <c r="AD20" s="11" t="str">
        <f t="shared" si="57"/>
        <v/>
      </c>
      <c r="AE20" s="11" t="str">
        <f t="shared" si="57"/>
        <v/>
      </c>
      <c r="AF20" s="11" t="str">
        <f t="shared" si="57"/>
        <v/>
      </c>
      <c r="AG20" s="11" t="str">
        <f t="shared" si="57"/>
        <v/>
      </c>
      <c r="AH20" s="11" t="str">
        <f t="shared" si="57"/>
        <v/>
      </c>
      <c r="AI20" s="11" t="str">
        <f t="shared" si="57"/>
        <v/>
      </c>
      <c r="AJ20" s="11" t="str">
        <f t="shared" si="57"/>
        <v/>
      </c>
      <c r="AK20" s="11" t="str">
        <f t="shared" si="57"/>
        <v/>
      </c>
      <c r="AL20" s="11" t="str">
        <f t="shared" si="58"/>
        <v/>
      </c>
      <c r="AM20" s="11" t="str">
        <f t="shared" si="58"/>
        <v/>
      </c>
      <c r="AN20" s="11" t="str">
        <f t="shared" si="58"/>
        <v/>
      </c>
      <c r="AO20" s="11" t="str">
        <f t="shared" si="58"/>
        <v/>
      </c>
      <c r="AP20" s="11" t="str">
        <f t="shared" si="58"/>
        <v/>
      </c>
      <c r="AQ20" s="11" t="str">
        <f t="shared" si="58"/>
        <v/>
      </c>
      <c r="AR20" s="11" t="str">
        <f t="shared" si="58"/>
        <v/>
      </c>
      <c r="AS20" s="11" t="str">
        <f t="shared" si="58"/>
        <v/>
      </c>
      <c r="AT20" s="11" t="str">
        <f t="shared" si="58"/>
        <v/>
      </c>
      <c r="AU20" s="11" t="str">
        <f t="shared" si="58"/>
        <v/>
      </c>
      <c r="AV20" s="11" t="str">
        <f t="shared" si="59"/>
        <v/>
      </c>
      <c r="AW20" s="11" t="str">
        <f t="shared" si="59"/>
        <v/>
      </c>
      <c r="AX20" s="11" t="str">
        <f t="shared" si="59"/>
        <v/>
      </c>
      <c r="AY20" s="11" t="str">
        <f t="shared" si="59"/>
        <v/>
      </c>
      <c r="AZ20" s="11" t="str">
        <f t="shared" si="59"/>
        <v/>
      </c>
      <c r="BA20" s="11" t="str">
        <f t="shared" si="59"/>
        <v/>
      </c>
      <c r="BB20" s="11" t="str">
        <f t="shared" si="59"/>
        <v/>
      </c>
      <c r="BC20" s="11" t="str">
        <f t="shared" si="59"/>
        <v/>
      </c>
      <c r="BD20" s="11" t="str">
        <f t="shared" si="59"/>
        <v/>
      </c>
      <c r="BE20" s="11" t="str">
        <f t="shared" si="59"/>
        <v/>
      </c>
      <c r="BF20" s="11" t="str">
        <f t="shared" si="60"/>
        <v/>
      </c>
      <c r="BG20" s="11" t="str">
        <f t="shared" si="60"/>
        <v/>
      </c>
      <c r="BH20" s="11" t="str">
        <f t="shared" si="60"/>
        <v/>
      </c>
      <c r="BI20" s="11" t="str">
        <f t="shared" si="60"/>
        <v/>
      </c>
      <c r="BJ20" s="11" t="str">
        <f t="shared" si="60"/>
        <v/>
      </c>
      <c r="BK20" s="11" t="str">
        <f t="shared" si="60"/>
        <v/>
      </c>
      <c r="BL20" s="11" t="str">
        <f t="shared" si="60"/>
        <v/>
      </c>
      <c r="BM20" s="11" t="str">
        <f t="shared" si="60"/>
        <v/>
      </c>
      <c r="BN20" s="11" t="str">
        <f t="shared" si="60"/>
        <v/>
      </c>
      <c r="BO20" s="11" t="str">
        <f t="shared" si="60"/>
        <v/>
      </c>
      <c r="BP20" s="11" t="str">
        <f t="shared" si="61"/>
        <v/>
      </c>
      <c r="BQ20" s="11" t="str">
        <f t="shared" si="61"/>
        <v/>
      </c>
      <c r="BR20" s="11" t="str">
        <f t="shared" si="61"/>
        <v/>
      </c>
      <c r="BS20" s="11" t="str">
        <f t="shared" si="61"/>
        <v/>
      </c>
      <c r="BT20" s="11" t="str">
        <f t="shared" si="61"/>
        <v/>
      </c>
      <c r="BU20" s="11" t="str">
        <f t="shared" si="61"/>
        <v/>
      </c>
      <c r="BV20" s="11" t="str">
        <f t="shared" si="61"/>
        <v/>
      </c>
      <c r="BW20" s="11" t="str">
        <f t="shared" si="61"/>
        <v/>
      </c>
      <c r="BX20" s="11" t="str">
        <f t="shared" si="61"/>
        <v/>
      </c>
      <c r="BY20" s="11" t="str">
        <f t="shared" si="61"/>
        <v/>
      </c>
      <c r="BZ20" s="11" t="str">
        <f t="shared" si="62"/>
        <v/>
      </c>
      <c r="CA20" s="11" t="str">
        <f t="shared" si="62"/>
        <v/>
      </c>
      <c r="CB20" s="11" t="str">
        <f t="shared" si="62"/>
        <v/>
      </c>
      <c r="CC20" s="11" t="str">
        <f t="shared" si="62"/>
        <v/>
      </c>
      <c r="CD20" s="11" t="str">
        <f t="shared" si="62"/>
        <v/>
      </c>
      <c r="CE20" s="11" t="str">
        <f t="shared" si="62"/>
        <v/>
      </c>
      <c r="CF20" s="11" t="str">
        <f t="shared" si="62"/>
        <v/>
      </c>
      <c r="CG20" s="11" t="str">
        <f t="shared" si="62"/>
        <v/>
      </c>
      <c r="CH20" s="11" t="str">
        <f t="shared" si="62"/>
        <v/>
      </c>
      <c r="CI20" s="11" t="str">
        <f t="shared" si="62"/>
        <v/>
      </c>
      <c r="CJ20" s="11" t="str">
        <f t="shared" si="63"/>
        <v/>
      </c>
      <c r="CK20" s="11" t="str">
        <f t="shared" si="63"/>
        <v/>
      </c>
      <c r="CL20" s="11" t="str">
        <f t="shared" si="63"/>
        <v/>
      </c>
      <c r="CM20" s="11" t="str">
        <f t="shared" si="63"/>
        <v/>
      </c>
      <c r="CN20" s="11" t="str">
        <f t="shared" si="63"/>
        <v/>
      </c>
      <c r="CO20" s="11" t="str">
        <f t="shared" si="63"/>
        <v/>
      </c>
      <c r="CP20" s="11" t="str">
        <f t="shared" si="63"/>
        <v/>
      </c>
      <c r="CQ20" s="11" t="str">
        <f t="shared" si="63"/>
        <v/>
      </c>
      <c r="CR20" s="11" t="str">
        <f t="shared" si="63"/>
        <v/>
      </c>
      <c r="CS20" s="11" t="str">
        <f t="shared" si="63"/>
        <v/>
      </c>
      <c r="CT20" s="11" t="str">
        <f t="shared" si="64"/>
        <v/>
      </c>
      <c r="CU20" s="11" t="str">
        <f t="shared" si="64"/>
        <v/>
      </c>
      <c r="CV20" s="11" t="str">
        <f t="shared" si="64"/>
        <v/>
      </c>
      <c r="CW20" s="11" t="str">
        <f t="shared" si="64"/>
        <v/>
      </c>
      <c r="CX20" s="11" t="str">
        <f t="shared" si="64"/>
        <v/>
      </c>
      <c r="CY20" s="11" t="str">
        <f t="shared" si="64"/>
        <v/>
      </c>
      <c r="CZ20" s="11" t="str">
        <f t="shared" si="64"/>
        <v/>
      </c>
      <c r="DA20" s="11" t="str">
        <f t="shared" si="64"/>
        <v/>
      </c>
      <c r="DB20" s="11" t="str">
        <f t="shared" si="64"/>
        <v/>
      </c>
      <c r="DC20" s="11" t="str">
        <f t="shared" si="64"/>
        <v/>
      </c>
      <c r="DD20" s="11" t="str">
        <f t="shared" si="64"/>
        <v/>
      </c>
      <c r="DE20" s="11">
        <f t="shared" si="64"/>
        <v>1</v>
      </c>
      <c r="DF20" s="11" t="str">
        <f t="shared" si="64"/>
        <v/>
      </c>
    </row>
    <row r="21" spans="1:110" s="1" customFormat="1" ht="40.15" customHeight="1" x14ac:dyDescent="0.35">
      <c r="A21" s="4"/>
      <c r="B21" s="43" t="s">
        <v>15</v>
      </c>
      <c r="C21" s="13" t="s">
        <v>3</v>
      </c>
      <c r="D21" s="14">
        <v>46007</v>
      </c>
      <c r="E21" s="14">
        <f>Milestones4352[[#This Row],[Ínicio]]+Milestones4352[[#This Row],[Nº Dias]]-1</f>
        <v>46031</v>
      </c>
      <c r="F21" s="15">
        <v>25</v>
      </c>
      <c r="G21" s="13"/>
      <c r="H21" s="11" t="str">
        <f t="shared" ref="H21:Q26" si="65">IF(AND($C21="Goal",H$7&gt;=$D21,H$7&lt;=$D21+$F21-1),2,IF(AND($C21="Milestone",H$7&gt;=$D21,H$7&lt;=$D21+$F21-1),1,""))</f>
        <v/>
      </c>
      <c r="I21" s="11" t="str">
        <f t="shared" si="65"/>
        <v/>
      </c>
      <c r="J21" s="11" t="str">
        <f t="shared" si="65"/>
        <v/>
      </c>
      <c r="K21" s="11" t="str">
        <f t="shared" si="65"/>
        <v/>
      </c>
      <c r="L21" s="11" t="str">
        <f t="shared" si="65"/>
        <v/>
      </c>
      <c r="M21" s="11" t="str">
        <f t="shared" si="65"/>
        <v/>
      </c>
      <c r="N21" s="11" t="str">
        <f t="shared" si="65"/>
        <v/>
      </c>
      <c r="O21" s="11" t="str">
        <f t="shared" si="65"/>
        <v/>
      </c>
      <c r="P21" s="11" t="str">
        <f t="shared" si="65"/>
        <v/>
      </c>
      <c r="Q21" s="11" t="str">
        <f t="shared" si="65"/>
        <v/>
      </c>
      <c r="R21" s="11" t="str">
        <f t="shared" ref="R21:AA26" si="66">IF(AND($C21="Goal",R$7&gt;=$D21,R$7&lt;=$D21+$F21-1),2,IF(AND($C21="Milestone",R$7&gt;=$D21,R$7&lt;=$D21+$F21-1),1,""))</f>
        <v/>
      </c>
      <c r="S21" s="11" t="str">
        <f t="shared" si="66"/>
        <v/>
      </c>
      <c r="T21" s="11" t="str">
        <f t="shared" si="66"/>
        <v/>
      </c>
      <c r="U21" s="11" t="str">
        <f t="shared" si="66"/>
        <v/>
      </c>
      <c r="V21" s="11" t="str">
        <f t="shared" si="66"/>
        <v/>
      </c>
      <c r="W21" s="11" t="str">
        <f t="shared" si="66"/>
        <v/>
      </c>
      <c r="X21" s="11" t="str">
        <f t="shared" si="66"/>
        <v/>
      </c>
      <c r="Y21" s="11" t="str">
        <f t="shared" si="66"/>
        <v/>
      </c>
      <c r="Z21" s="11" t="str">
        <f t="shared" si="66"/>
        <v/>
      </c>
      <c r="AA21" s="11" t="str">
        <f t="shared" si="66"/>
        <v/>
      </c>
      <c r="AB21" s="11" t="str">
        <f t="shared" ref="AB21:AK26" si="67">IF(AND($C21="Goal",AB$7&gt;=$D21,AB$7&lt;=$D21+$F21-1),2,IF(AND($C21="Milestone",AB$7&gt;=$D21,AB$7&lt;=$D21+$F21-1),1,""))</f>
        <v/>
      </c>
      <c r="AC21" s="11" t="str">
        <f t="shared" si="67"/>
        <v/>
      </c>
      <c r="AD21" s="11" t="str">
        <f t="shared" si="67"/>
        <v/>
      </c>
      <c r="AE21" s="11" t="str">
        <f t="shared" si="67"/>
        <v/>
      </c>
      <c r="AF21" s="11" t="str">
        <f t="shared" si="67"/>
        <v/>
      </c>
      <c r="AG21" s="11" t="str">
        <f t="shared" si="67"/>
        <v/>
      </c>
      <c r="AH21" s="11" t="str">
        <f t="shared" si="67"/>
        <v/>
      </c>
      <c r="AI21" s="11" t="str">
        <f t="shared" si="67"/>
        <v/>
      </c>
      <c r="AJ21" s="11" t="str">
        <f t="shared" si="67"/>
        <v/>
      </c>
      <c r="AK21" s="11" t="str">
        <f t="shared" si="67"/>
        <v/>
      </c>
      <c r="AL21" s="11" t="str">
        <f t="shared" ref="AL21:AU26" si="68">IF(AND($C21="Goal",AL$7&gt;=$D21,AL$7&lt;=$D21+$F21-1),2,IF(AND($C21="Milestone",AL$7&gt;=$D21,AL$7&lt;=$D21+$F21-1),1,""))</f>
        <v/>
      </c>
      <c r="AM21" s="11" t="str">
        <f t="shared" si="68"/>
        <v/>
      </c>
      <c r="AN21" s="11" t="str">
        <f t="shared" si="68"/>
        <v/>
      </c>
      <c r="AO21" s="11" t="str">
        <f t="shared" si="68"/>
        <v/>
      </c>
      <c r="AP21" s="11" t="str">
        <f t="shared" si="68"/>
        <v/>
      </c>
      <c r="AQ21" s="11" t="str">
        <f t="shared" si="68"/>
        <v/>
      </c>
      <c r="AR21" s="11" t="str">
        <f t="shared" si="68"/>
        <v/>
      </c>
      <c r="AS21" s="11" t="str">
        <f t="shared" si="68"/>
        <v/>
      </c>
      <c r="AT21" s="11" t="str">
        <f t="shared" si="68"/>
        <v/>
      </c>
      <c r="AU21" s="11" t="str">
        <f t="shared" si="68"/>
        <v/>
      </c>
      <c r="AV21" s="11" t="str">
        <f t="shared" ref="AV21:BE26" si="69">IF(AND($C21="Goal",AV$7&gt;=$D21,AV$7&lt;=$D21+$F21-1),2,IF(AND($C21="Milestone",AV$7&gt;=$D21,AV$7&lt;=$D21+$F21-1),1,""))</f>
        <v/>
      </c>
      <c r="AW21" s="11" t="str">
        <f t="shared" si="69"/>
        <v/>
      </c>
      <c r="AX21" s="11" t="str">
        <f t="shared" si="69"/>
        <v/>
      </c>
      <c r="AY21" s="11" t="str">
        <f t="shared" si="69"/>
        <v/>
      </c>
      <c r="AZ21" s="11" t="str">
        <f t="shared" si="69"/>
        <v/>
      </c>
      <c r="BA21" s="11" t="str">
        <f t="shared" si="69"/>
        <v/>
      </c>
      <c r="BB21" s="11" t="str">
        <f t="shared" si="69"/>
        <v/>
      </c>
      <c r="BC21" s="11" t="str">
        <f t="shared" si="69"/>
        <v/>
      </c>
      <c r="BD21" s="11" t="str">
        <f t="shared" si="69"/>
        <v/>
      </c>
      <c r="BE21" s="11" t="str">
        <f t="shared" si="69"/>
        <v/>
      </c>
      <c r="BF21" s="11" t="str">
        <f t="shared" ref="BF21:BO26" si="70">IF(AND($C21="Goal",BF$7&gt;=$D21,BF$7&lt;=$D21+$F21-1),2,IF(AND($C21="Milestone",BF$7&gt;=$D21,BF$7&lt;=$D21+$F21-1),1,""))</f>
        <v/>
      </c>
      <c r="BG21" s="11" t="str">
        <f t="shared" si="70"/>
        <v/>
      </c>
      <c r="BH21" s="11" t="str">
        <f t="shared" si="70"/>
        <v/>
      </c>
      <c r="BI21" s="11" t="str">
        <f t="shared" si="70"/>
        <v/>
      </c>
      <c r="BJ21" s="11" t="str">
        <f t="shared" si="70"/>
        <v/>
      </c>
      <c r="BK21" s="11" t="str">
        <f t="shared" si="70"/>
        <v/>
      </c>
      <c r="BL21" s="11" t="str">
        <f t="shared" si="70"/>
        <v/>
      </c>
      <c r="BM21" s="11" t="str">
        <f t="shared" si="70"/>
        <v/>
      </c>
      <c r="BN21" s="11" t="str">
        <f t="shared" si="70"/>
        <v/>
      </c>
      <c r="BO21" s="11" t="str">
        <f t="shared" si="70"/>
        <v/>
      </c>
      <c r="BP21" s="11" t="str">
        <f t="shared" ref="BP21:BY26" si="71">IF(AND($C21="Goal",BP$7&gt;=$D21,BP$7&lt;=$D21+$F21-1),2,IF(AND($C21="Milestone",BP$7&gt;=$D21,BP$7&lt;=$D21+$F21-1),1,""))</f>
        <v/>
      </c>
      <c r="BQ21" s="11" t="str">
        <f t="shared" si="71"/>
        <v/>
      </c>
      <c r="BR21" s="11" t="str">
        <f t="shared" si="71"/>
        <v/>
      </c>
      <c r="BS21" s="11" t="str">
        <f t="shared" si="71"/>
        <v/>
      </c>
      <c r="BT21" s="11" t="str">
        <f t="shared" si="71"/>
        <v/>
      </c>
      <c r="BU21" s="11" t="str">
        <f t="shared" si="71"/>
        <v/>
      </c>
      <c r="BV21" s="11" t="str">
        <f t="shared" si="71"/>
        <v/>
      </c>
      <c r="BW21" s="11" t="str">
        <f t="shared" si="71"/>
        <v/>
      </c>
      <c r="BX21" s="11" t="str">
        <f t="shared" si="71"/>
        <v/>
      </c>
      <c r="BY21" s="11" t="str">
        <f t="shared" si="71"/>
        <v/>
      </c>
      <c r="BZ21" s="11" t="str">
        <f t="shared" ref="BZ21:CI26" si="72">IF(AND($C21="Goal",BZ$7&gt;=$D21,BZ$7&lt;=$D21+$F21-1),2,IF(AND($C21="Milestone",BZ$7&gt;=$D21,BZ$7&lt;=$D21+$F21-1),1,""))</f>
        <v/>
      </c>
      <c r="CA21" s="11" t="str">
        <f t="shared" si="72"/>
        <v/>
      </c>
      <c r="CB21" s="11" t="str">
        <f t="shared" si="72"/>
        <v/>
      </c>
      <c r="CC21" s="11" t="str">
        <f t="shared" si="72"/>
        <v/>
      </c>
      <c r="CD21" s="11" t="str">
        <f t="shared" si="72"/>
        <v/>
      </c>
      <c r="CE21" s="11" t="str">
        <f t="shared" si="72"/>
        <v/>
      </c>
      <c r="CF21" s="11" t="str">
        <f t="shared" si="72"/>
        <v/>
      </c>
      <c r="CG21" s="11" t="str">
        <f t="shared" si="72"/>
        <v/>
      </c>
      <c r="CH21" s="11" t="str">
        <f t="shared" si="72"/>
        <v/>
      </c>
      <c r="CI21" s="11" t="str">
        <f t="shared" si="72"/>
        <v/>
      </c>
      <c r="CJ21" s="11" t="str">
        <f t="shared" ref="CJ21:CS26" si="73">IF(AND($C21="Goal",CJ$7&gt;=$D21,CJ$7&lt;=$D21+$F21-1),2,IF(AND($C21="Milestone",CJ$7&gt;=$D21,CJ$7&lt;=$D21+$F21-1),1,""))</f>
        <v/>
      </c>
      <c r="CK21" s="11" t="str">
        <f t="shared" si="73"/>
        <v/>
      </c>
      <c r="CL21" s="11" t="str">
        <f t="shared" si="73"/>
        <v/>
      </c>
      <c r="CM21" s="11" t="str">
        <f t="shared" si="73"/>
        <v/>
      </c>
      <c r="CN21" s="11" t="str">
        <f t="shared" si="73"/>
        <v/>
      </c>
      <c r="CO21" s="11" t="str">
        <f t="shared" si="73"/>
        <v/>
      </c>
      <c r="CP21" s="11" t="str">
        <f t="shared" si="73"/>
        <v/>
      </c>
      <c r="CQ21" s="11" t="str">
        <f t="shared" si="73"/>
        <v/>
      </c>
      <c r="CR21" s="11" t="str">
        <f t="shared" si="73"/>
        <v/>
      </c>
      <c r="CS21" s="11" t="str">
        <f t="shared" si="73"/>
        <v/>
      </c>
      <c r="CT21" s="11" t="str">
        <f t="shared" ref="CT21:DF26" si="74">IF(AND($C21="Goal",CT$7&gt;=$D21,CT$7&lt;=$D21+$F21-1),2,IF(AND($C21="Milestone",CT$7&gt;=$D21,CT$7&lt;=$D21+$F21-1),1,""))</f>
        <v/>
      </c>
      <c r="CU21" s="11" t="str">
        <f t="shared" si="74"/>
        <v/>
      </c>
      <c r="CV21" s="11" t="str">
        <f t="shared" si="74"/>
        <v/>
      </c>
      <c r="CW21" s="11" t="str">
        <f t="shared" si="74"/>
        <v/>
      </c>
      <c r="CX21" s="11" t="str">
        <f t="shared" si="74"/>
        <v/>
      </c>
      <c r="CY21" s="11" t="str">
        <f t="shared" si="74"/>
        <v/>
      </c>
      <c r="CZ21" s="11" t="str">
        <f t="shared" si="74"/>
        <v/>
      </c>
      <c r="DA21" s="11" t="str">
        <f t="shared" si="74"/>
        <v/>
      </c>
      <c r="DB21" s="11" t="str">
        <f t="shared" si="74"/>
        <v/>
      </c>
      <c r="DC21" s="11" t="str">
        <f t="shared" si="74"/>
        <v/>
      </c>
      <c r="DD21" s="11" t="str">
        <f t="shared" si="74"/>
        <v/>
      </c>
      <c r="DE21" s="11" t="str">
        <f t="shared" si="74"/>
        <v/>
      </c>
      <c r="DF21" s="11" t="str">
        <f t="shared" si="74"/>
        <v/>
      </c>
    </row>
    <row r="22" spans="1:110" s="1" customFormat="1" ht="40.15" customHeight="1" x14ac:dyDescent="0.35">
      <c r="A22" s="4"/>
      <c r="B22" s="43" t="s">
        <v>16</v>
      </c>
      <c r="C22" s="13" t="s">
        <v>3</v>
      </c>
      <c r="D22" s="14">
        <v>46007</v>
      </c>
      <c r="E22" s="14">
        <f>Milestones4352[[#This Row],[Ínicio]]+Milestones4352[[#This Row],[Nº Dias]]-1</f>
        <v>46037</v>
      </c>
      <c r="F22" s="15">
        <v>31</v>
      </c>
      <c r="G22" s="13"/>
      <c r="H22" s="11" t="str">
        <f t="shared" si="65"/>
        <v/>
      </c>
      <c r="I22" s="11" t="str">
        <f t="shared" si="65"/>
        <v/>
      </c>
      <c r="J22" s="11" t="str">
        <f t="shared" si="65"/>
        <v/>
      </c>
      <c r="K22" s="11" t="str">
        <f t="shared" si="65"/>
        <v/>
      </c>
      <c r="L22" s="11" t="str">
        <f t="shared" si="65"/>
        <v/>
      </c>
      <c r="M22" s="11" t="str">
        <f t="shared" si="65"/>
        <v/>
      </c>
      <c r="N22" s="11" t="str">
        <f t="shared" si="65"/>
        <v/>
      </c>
      <c r="O22" s="11" t="str">
        <f t="shared" si="65"/>
        <v/>
      </c>
      <c r="P22" s="11" t="str">
        <f t="shared" si="65"/>
        <v/>
      </c>
      <c r="Q22" s="11" t="str">
        <f t="shared" si="65"/>
        <v/>
      </c>
      <c r="R22" s="11" t="str">
        <f t="shared" si="66"/>
        <v/>
      </c>
      <c r="S22" s="11" t="str">
        <f t="shared" si="66"/>
        <v/>
      </c>
      <c r="T22" s="11" t="str">
        <f t="shared" si="66"/>
        <v/>
      </c>
      <c r="U22" s="11" t="str">
        <f t="shared" si="66"/>
        <v/>
      </c>
      <c r="V22" s="11" t="str">
        <f t="shared" si="66"/>
        <v/>
      </c>
      <c r="W22" s="11" t="str">
        <f t="shared" si="66"/>
        <v/>
      </c>
      <c r="X22" s="11" t="str">
        <f t="shared" si="66"/>
        <v/>
      </c>
      <c r="Y22" s="11" t="str">
        <f t="shared" si="66"/>
        <v/>
      </c>
      <c r="Z22" s="11" t="str">
        <f t="shared" si="66"/>
        <v/>
      </c>
      <c r="AA22" s="11" t="str">
        <f t="shared" si="66"/>
        <v/>
      </c>
      <c r="AB22" s="11" t="str">
        <f t="shared" si="67"/>
        <v/>
      </c>
      <c r="AC22" s="11" t="str">
        <f t="shared" si="67"/>
        <v/>
      </c>
      <c r="AD22" s="11" t="str">
        <f t="shared" si="67"/>
        <v/>
      </c>
      <c r="AE22" s="11" t="str">
        <f t="shared" si="67"/>
        <v/>
      </c>
      <c r="AF22" s="11" t="str">
        <f t="shared" si="67"/>
        <v/>
      </c>
      <c r="AG22" s="11" t="str">
        <f t="shared" si="67"/>
        <v/>
      </c>
      <c r="AH22" s="11" t="str">
        <f t="shared" si="67"/>
        <v/>
      </c>
      <c r="AI22" s="11" t="str">
        <f t="shared" si="67"/>
        <v/>
      </c>
      <c r="AJ22" s="11" t="str">
        <f t="shared" si="67"/>
        <v/>
      </c>
      <c r="AK22" s="11" t="str">
        <f t="shared" si="67"/>
        <v/>
      </c>
      <c r="AL22" s="11" t="str">
        <f t="shared" si="68"/>
        <v/>
      </c>
      <c r="AM22" s="11" t="str">
        <f t="shared" si="68"/>
        <v/>
      </c>
      <c r="AN22" s="11" t="str">
        <f t="shared" si="68"/>
        <v/>
      </c>
      <c r="AO22" s="11" t="str">
        <f t="shared" si="68"/>
        <v/>
      </c>
      <c r="AP22" s="11" t="str">
        <f t="shared" si="68"/>
        <v/>
      </c>
      <c r="AQ22" s="11" t="str">
        <f t="shared" si="68"/>
        <v/>
      </c>
      <c r="AR22" s="11" t="str">
        <f t="shared" si="68"/>
        <v/>
      </c>
      <c r="AS22" s="11" t="str">
        <f t="shared" si="68"/>
        <v/>
      </c>
      <c r="AT22" s="11" t="str">
        <f t="shared" si="68"/>
        <v/>
      </c>
      <c r="AU22" s="11" t="str">
        <f t="shared" si="68"/>
        <v/>
      </c>
      <c r="AV22" s="11" t="str">
        <f t="shared" si="69"/>
        <v/>
      </c>
      <c r="AW22" s="11" t="str">
        <f t="shared" si="69"/>
        <v/>
      </c>
      <c r="AX22" s="11" t="str">
        <f t="shared" si="69"/>
        <v/>
      </c>
      <c r="AY22" s="11" t="str">
        <f t="shared" si="69"/>
        <v/>
      </c>
      <c r="AZ22" s="11" t="str">
        <f t="shared" si="69"/>
        <v/>
      </c>
      <c r="BA22" s="11" t="str">
        <f t="shared" si="69"/>
        <v/>
      </c>
      <c r="BB22" s="11" t="str">
        <f t="shared" si="69"/>
        <v/>
      </c>
      <c r="BC22" s="11" t="str">
        <f t="shared" si="69"/>
        <v/>
      </c>
      <c r="BD22" s="11" t="str">
        <f t="shared" si="69"/>
        <v/>
      </c>
      <c r="BE22" s="11" t="str">
        <f t="shared" si="69"/>
        <v/>
      </c>
      <c r="BF22" s="11" t="str">
        <f t="shared" si="70"/>
        <v/>
      </c>
      <c r="BG22" s="11" t="str">
        <f t="shared" si="70"/>
        <v/>
      </c>
      <c r="BH22" s="11" t="str">
        <f t="shared" si="70"/>
        <v/>
      </c>
      <c r="BI22" s="11" t="str">
        <f t="shared" si="70"/>
        <v/>
      </c>
      <c r="BJ22" s="11" t="str">
        <f t="shared" si="70"/>
        <v/>
      </c>
      <c r="BK22" s="11" t="str">
        <f t="shared" si="70"/>
        <v/>
      </c>
      <c r="BL22" s="11" t="str">
        <f t="shared" si="70"/>
        <v/>
      </c>
      <c r="BM22" s="11" t="str">
        <f t="shared" si="70"/>
        <v/>
      </c>
      <c r="BN22" s="11" t="str">
        <f t="shared" si="70"/>
        <v/>
      </c>
      <c r="BO22" s="11" t="str">
        <f t="shared" si="70"/>
        <v/>
      </c>
      <c r="BP22" s="11" t="str">
        <f t="shared" si="71"/>
        <v/>
      </c>
      <c r="BQ22" s="11" t="str">
        <f t="shared" si="71"/>
        <v/>
      </c>
      <c r="BR22" s="11" t="str">
        <f t="shared" si="71"/>
        <v/>
      </c>
      <c r="BS22" s="11" t="str">
        <f t="shared" si="71"/>
        <v/>
      </c>
      <c r="BT22" s="11" t="str">
        <f t="shared" si="71"/>
        <v/>
      </c>
      <c r="BU22" s="11" t="str">
        <f t="shared" si="71"/>
        <v/>
      </c>
      <c r="BV22" s="11" t="str">
        <f t="shared" si="71"/>
        <v/>
      </c>
      <c r="BW22" s="11" t="str">
        <f t="shared" si="71"/>
        <v/>
      </c>
      <c r="BX22" s="11" t="str">
        <f t="shared" si="71"/>
        <v/>
      </c>
      <c r="BY22" s="11" t="str">
        <f t="shared" si="71"/>
        <v/>
      </c>
      <c r="BZ22" s="11" t="str">
        <f t="shared" si="72"/>
        <v/>
      </c>
      <c r="CA22" s="11" t="str">
        <f t="shared" si="72"/>
        <v/>
      </c>
      <c r="CB22" s="11" t="str">
        <f t="shared" si="72"/>
        <v/>
      </c>
      <c r="CC22" s="11" t="str">
        <f t="shared" si="72"/>
        <v/>
      </c>
      <c r="CD22" s="11" t="str">
        <f t="shared" si="72"/>
        <v/>
      </c>
      <c r="CE22" s="11" t="str">
        <f t="shared" si="72"/>
        <v/>
      </c>
      <c r="CF22" s="11" t="str">
        <f t="shared" si="72"/>
        <v/>
      </c>
      <c r="CG22" s="11" t="str">
        <f t="shared" si="72"/>
        <v/>
      </c>
      <c r="CH22" s="11" t="str">
        <f t="shared" si="72"/>
        <v/>
      </c>
      <c r="CI22" s="11" t="str">
        <f t="shared" si="72"/>
        <v/>
      </c>
      <c r="CJ22" s="11" t="str">
        <f t="shared" si="73"/>
        <v/>
      </c>
      <c r="CK22" s="11" t="str">
        <f t="shared" si="73"/>
        <v/>
      </c>
      <c r="CL22" s="11" t="str">
        <f t="shared" si="73"/>
        <v/>
      </c>
      <c r="CM22" s="11" t="str">
        <f t="shared" si="73"/>
        <v/>
      </c>
      <c r="CN22" s="11" t="str">
        <f t="shared" si="73"/>
        <v/>
      </c>
      <c r="CO22" s="11" t="str">
        <f t="shared" si="73"/>
        <v/>
      </c>
      <c r="CP22" s="11" t="str">
        <f t="shared" si="73"/>
        <v/>
      </c>
      <c r="CQ22" s="11" t="str">
        <f t="shared" si="73"/>
        <v/>
      </c>
      <c r="CR22" s="11" t="str">
        <f t="shared" si="73"/>
        <v/>
      </c>
      <c r="CS22" s="11" t="str">
        <f t="shared" si="73"/>
        <v/>
      </c>
      <c r="CT22" s="11" t="str">
        <f t="shared" si="74"/>
        <v/>
      </c>
      <c r="CU22" s="11" t="str">
        <f t="shared" si="74"/>
        <v/>
      </c>
      <c r="CV22" s="11" t="str">
        <f t="shared" si="74"/>
        <v/>
      </c>
      <c r="CW22" s="11" t="str">
        <f t="shared" si="74"/>
        <v/>
      </c>
      <c r="CX22" s="11" t="str">
        <f t="shared" si="74"/>
        <v/>
      </c>
      <c r="CY22" s="11" t="str">
        <f t="shared" si="74"/>
        <v/>
      </c>
      <c r="CZ22" s="11" t="str">
        <f t="shared" si="74"/>
        <v/>
      </c>
      <c r="DA22" s="11" t="str">
        <f t="shared" si="74"/>
        <v/>
      </c>
      <c r="DB22" s="11" t="str">
        <f t="shared" si="74"/>
        <v/>
      </c>
      <c r="DC22" s="11" t="str">
        <f t="shared" si="74"/>
        <v/>
      </c>
      <c r="DD22" s="11" t="str">
        <f t="shared" si="74"/>
        <v/>
      </c>
      <c r="DE22" s="11" t="str">
        <f t="shared" si="74"/>
        <v/>
      </c>
      <c r="DF22" s="11" t="str">
        <f t="shared" si="74"/>
        <v/>
      </c>
    </row>
    <row r="23" spans="1:110" s="1" customFormat="1" ht="40.15" customHeight="1" x14ac:dyDescent="0.35">
      <c r="A23" s="4"/>
      <c r="B23" s="43" t="s">
        <v>17</v>
      </c>
      <c r="C23" s="13" t="s">
        <v>3</v>
      </c>
      <c r="D23" s="14">
        <v>46024</v>
      </c>
      <c r="E23" s="14">
        <f>Milestones4352[[#This Row],[Ínicio]]+Milestones4352[[#This Row],[Nº Dias]]-1</f>
        <v>46052</v>
      </c>
      <c r="F23" s="15">
        <v>29</v>
      </c>
      <c r="G23" s="13"/>
      <c r="H23" s="11" t="str">
        <f t="shared" si="65"/>
        <v/>
      </c>
      <c r="I23" s="11" t="str">
        <f t="shared" si="65"/>
        <v/>
      </c>
      <c r="J23" s="11" t="str">
        <f t="shared" si="65"/>
        <v/>
      </c>
      <c r="K23" s="11" t="str">
        <f t="shared" si="65"/>
        <v/>
      </c>
      <c r="L23" s="11" t="str">
        <f t="shared" si="65"/>
        <v/>
      </c>
      <c r="M23" s="11" t="str">
        <f t="shared" si="65"/>
        <v/>
      </c>
      <c r="N23" s="11" t="str">
        <f t="shared" si="65"/>
        <v/>
      </c>
      <c r="O23" s="11" t="str">
        <f t="shared" si="65"/>
        <v/>
      </c>
      <c r="P23" s="11" t="str">
        <f t="shared" si="65"/>
        <v/>
      </c>
      <c r="Q23" s="11" t="str">
        <f t="shared" si="65"/>
        <v/>
      </c>
      <c r="R23" s="11" t="str">
        <f t="shared" si="66"/>
        <v/>
      </c>
      <c r="S23" s="11" t="str">
        <f t="shared" si="66"/>
        <v/>
      </c>
      <c r="T23" s="11" t="str">
        <f t="shared" si="66"/>
        <v/>
      </c>
      <c r="U23" s="11" t="str">
        <f t="shared" si="66"/>
        <v/>
      </c>
      <c r="V23" s="11" t="str">
        <f t="shared" si="66"/>
        <v/>
      </c>
      <c r="W23" s="11" t="str">
        <f t="shared" si="66"/>
        <v/>
      </c>
      <c r="X23" s="11" t="str">
        <f t="shared" si="66"/>
        <v/>
      </c>
      <c r="Y23" s="11" t="str">
        <f t="shared" si="66"/>
        <v/>
      </c>
      <c r="Z23" s="11" t="str">
        <f t="shared" si="66"/>
        <v/>
      </c>
      <c r="AA23" s="11" t="str">
        <f t="shared" si="66"/>
        <v/>
      </c>
      <c r="AB23" s="11" t="str">
        <f t="shared" si="67"/>
        <v/>
      </c>
      <c r="AC23" s="11" t="str">
        <f t="shared" si="67"/>
        <v/>
      </c>
      <c r="AD23" s="11" t="str">
        <f t="shared" si="67"/>
        <v/>
      </c>
      <c r="AE23" s="11" t="str">
        <f t="shared" si="67"/>
        <v/>
      </c>
      <c r="AF23" s="11" t="str">
        <f t="shared" si="67"/>
        <v/>
      </c>
      <c r="AG23" s="11" t="str">
        <f t="shared" si="67"/>
        <v/>
      </c>
      <c r="AH23" s="11" t="str">
        <f t="shared" si="67"/>
        <v/>
      </c>
      <c r="AI23" s="11" t="str">
        <f t="shared" si="67"/>
        <v/>
      </c>
      <c r="AJ23" s="11" t="str">
        <f t="shared" si="67"/>
        <v/>
      </c>
      <c r="AK23" s="11" t="str">
        <f t="shared" si="67"/>
        <v/>
      </c>
      <c r="AL23" s="11" t="str">
        <f t="shared" si="68"/>
        <v/>
      </c>
      <c r="AM23" s="11" t="str">
        <f t="shared" si="68"/>
        <v/>
      </c>
      <c r="AN23" s="11" t="str">
        <f t="shared" si="68"/>
        <v/>
      </c>
      <c r="AO23" s="11" t="str">
        <f t="shared" si="68"/>
        <v/>
      </c>
      <c r="AP23" s="11" t="str">
        <f t="shared" si="68"/>
        <v/>
      </c>
      <c r="AQ23" s="11" t="str">
        <f t="shared" si="68"/>
        <v/>
      </c>
      <c r="AR23" s="11" t="str">
        <f t="shared" si="68"/>
        <v/>
      </c>
      <c r="AS23" s="11" t="str">
        <f t="shared" si="68"/>
        <v/>
      </c>
      <c r="AT23" s="11" t="str">
        <f t="shared" si="68"/>
        <v/>
      </c>
      <c r="AU23" s="11" t="str">
        <f t="shared" si="68"/>
        <v/>
      </c>
      <c r="AV23" s="11" t="str">
        <f t="shared" si="69"/>
        <v/>
      </c>
      <c r="AW23" s="11" t="str">
        <f t="shared" si="69"/>
        <v/>
      </c>
      <c r="AX23" s="11" t="str">
        <f t="shared" si="69"/>
        <v/>
      </c>
      <c r="AY23" s="11" t="str">
        <f t="shared" si="69"/>
        <v/>
      </c>
      <c r="AZ23" s="11" t="str">
        <f t="shared" si="69"/>
        <v/>
      </c>
      <c r="BA23" s="11" t="str">
        <f t="shared" si="69"/>
        <v/>
      </c>
      <c r="BB23" s="11" t="str">
        <f t="shared" si="69"/>
        <v/>
      </c>
      <c r="BC23" s="11" t="str">
        <f t="shared" si="69"/>
        <v/>
      </c>
      <c r="BD23" s="11" t="str">
        <f t="shared" si="69"/>
        <v/>
      </c>
      <c r="BE23" s="11" t="str">
        <f t="shared" si="69"/>
        <v/>
      </c>
      <c r="BF23" s="11" t="str">
        <f t="shared" si="70"/>
        <v/>
      </c>
      <c r="BG23" s="11" t="str">
        <f t="shared" si="70"/>
        <v/>
      </c>
      <c r="BH23" s="11" t="str">
        <f t="shared" si="70"/>
        <v/>
      </c>
      <c r="BI23" s="11" t="str">
        <f t="shared" si="70"/>
        <v/>
      </c>
      <c r="BJ23" s="11" t="str">
        <f t="shared" si="70"/>
        <v/>
      </c>
      <c r="BK23" s="11" t="str">
        <f t="shared" si="70"/>
        <v/>
      </c>
      <c r="BL23" s="11" t="str">
        <f t="shared" si="70"/>
        <v/>
      </c>
      <c r="BM23" s="11" t="str">
        <f t="shared" si="70"/>
        <v/>
      </c>
      <c r="BN23" s="11" t="str">
        <f t="shared" si="70"/>
        <v/>
      </c>
      <c r="BO23" s="11" t="str">
        <f t="shared" si="70"/>
        <v/>
      </c>
      <c r="BP23" s="11" t="str">
        <f t="shared" si="71"/>
        <v/>
      </c>
      <c r="BQ23" s="11" t="str">
        <f t="shared" si="71"/>
        <v/>
      </c>
      <c r="BR23" s="11" t="str">
        <f t="shared" si="71"/>
        <v/>
      </c>
      <c r="BS23" s="11" t="str">
        <f t="shared" si="71"/>
        <v/>
      </c>
      <c r="BT23" s="11" t="str">
        <f t="shared" si="71"/>
        <v/>
      </c>
      <c r="BU23" s="11" t="str">
        <f t="shared" si="71"/>
        <v/>
      </c>
      <c r="BV23" s="11" t="str">
        <f t="shared" si="71"/>
        <v/>
      </c>
      <c r="BW23" s="11" t="str">
        <f t="shared" si="71"/>
        <v/>
      </c>
      <c r="BX23" s="11" t="str">
        <f t="shared" si="71"/>
        <v/>
      </c>
      <c r="BY23" s="11" t="str">
        <f t="shared" si="71"/>
        <v/>
      </c>
      <c r="BZ23" s="11" t="str">
        <f t="shared" si="72"/>
        <v/>
      </c>
      <c r="CA23" s="11" t="str">
        <f t="shared" si="72"/>
        <v/>
      </c>
      <c r="CB23" s="11" t="str">
        <f t="shared" si="72"/>
        <v/>
      </c>
      <c r="CC23" s="11" t="str">
        <f t="shared" si="72"/>
        <v/>
      </c>
      <c r="CD23" s="11" t="str">
        <f t="shared" si="72"/>
        <v/>
      </c>
      <c r="CE23" s="11" t="str">
        <f t="shared" si="72"/>
        <v/>
      </c>
      <c r="CF23" s="11" t="str">
        <f t="shared" si="72"/>
        <v/>
      </c>
      <c r="CG23" s="11" t="str">
        <f t="shared" si="72"/>
        <v/>
      </c>
      <c r="CH23" s="11" t="str">
        <f t="shared" si="72"/>
        <v/>
      </c>
      <c r="CI23" s="11" t="str">
        <f t="shared" si="72"/>
        <v/>
      </c>
      <c r="CJ23" s="11" t="str">
        <f t="shared" si="73"/>
        <v/>
      </c>
      <c r="CK23" s="11" t="str">
        <f t="shared" si="73"/>
        <v/>
      </c>
      <c r="CL23" s="11" t="str">
        <f t="shared" si="73"/>
        <v/>
      </c>
      <c r="CM23" s="11" t="str">
        <f t="shared" si="73"/>
        <v/>
      </c>
      <c r="CN23" s="11" t="str">
        <f t="shared" si="73"/>
        <v/>
      </c>
      <c r="CO23" s="11" t="str">
        <f t="shared" si="73"/>
        <v/>
      </c>
      <c r="CP23" s="11" t="str">
        <f t="shared" si="73"/>
        <v/>
      </c>
      <c r="CQ23" s="11" t="str">
        <f t="shared" si="73"/>
        <v/>
      </c>
      <c r="CR23" s="11" t="str">
        <f t="shared" si="73"/>
        <v/>
      </c>
      <c r="CS23" s="11" t="str">
        <f t="shared" si="73"/>
        <v/>
      </c>
      <c r="CT23" s="11" t="str">
        <f t="shared" si="74"/>
        <v/>
      </c>
      <c r="CU23" s="11" t="str">
        <f t="shared" si="74"/>
        <v/>
      </c>
      <c r="CV23" s="11" t="str">
        <f t="shared" si="74"/>
        <v/>
      </c>
      <c r="CW23" s="11" t="str">
        <f t="shared" si="74"/>
        <v/>
      </c>
      <c r="CX23" s="11" t="str">
        <f t="shared" si="74"/>
        <v/>
      </c>
      <c r="CY23" s="11" t="str">
        <f t="shared" si="74"/>
        <v/>
      </c>
      <c r="CZ23" s="11" t="str">
        <f t="shared" si="74"/>
        <v/>
      </c>
      <c r="DA23" s="11" t="str">
        <f t="shared" si="74"/>
        <v/>
      </c>
      <c r="DB23" s="11" t="str">
        <f t="shared" si="74"/>
        <v/>
      </c>
      <c r="DC23" s="11" t="str">
        <f t="shared" si="74"/>
        <v/>
      </c>
      <c r="DD23" s="11" t="str">
        <f t="shared" si="74"/>
        <v/>
      </c>
      <c r="DE23" s="11" t="str">
        <f t="shared" si="74"/>
        <v/>
      </c>
      <c r="DF23" s="11" t="str">
        <f t="shared" si="74"/>
        <v/>
      </c>
    </row>
    <row r="24" spans="1:110" s="1" customFormat="1" ht="40.15" customHeight="1" x14ac:dyDescent="0.35">
      <c r="A24" s="4"/>
      <c r="B24" s="43" t="s">
        <v>18</v>
      </c>
      <c r="C24" s="13" t="s">
        <v>3</v>
      </c>
      <c r="D24" s="14">
        <v>46031</v>
      </c>
      <c r="E24" s="14">
        <f>Milestones4352[[#This Row],[Ínicio]]+Milestones4352[[#This Row],[Nº Dias]]-1</f>
        <v>46052</v>
      </c>
      <c r="F24" s="15">
        <v>22</v>
      </c>
      <c r="G24" s="13"/>
      <c r="H24" s="11" t="str">
        <f t="shared" si="65"/>
        <v/>
      </c>
      <c r="I24" s="11" t="str">
        <f t="shared" si="65"/>
        <v/>
      </c>
      <c r="J24" s="11" t="str">
        <f t="shared" si="65"/>
        <v/>
      </c>
      <c r="K24" s="11" t="str">
        <f t="shared" si="65"/>
        <v/>
      </c>
      <c r="L24" s="11" t="str">
        <f t="shared" si="65"/>
        <v/>
      </c>
      <c r="M24" s="11" t="str">
        <f t="shared" si="65"/>
        <v/>
      </c>
      <c r="N24" s="11" t="str">
        <f t="shared" si="65"/>
        <v/>
      </c>
      <c r="O24" s="11" t="str">
        <f t="shared" si="65"/>
        <v/>
      </c>
      <c r="P24" s="11" t="str">
        <f t="shared" si="65"/>
        <v/>
      </c>
      <c r="Q24" s="11" t="str">
        <f t="shared" si="65"/>
        <v/>
      </c>
      <c r="R24" s="11" t="str">
        <f t="shared" si="66"/>
        <v/>
      </c>
      <c r="S24" s="11" t="str">
        <f t="shared" si="66"/>
        <v/>
      </c>
      <c r="T24" s="11" t="str">
        <f t="shared" si="66"/>
        <v/>
      </c>
      <c r="U24" s="11" t="str">
        <f t="shared" si="66"/>
        <v/>
      </c>
      <c r="V24" s="11" t="str">
        <f t="shared" si="66"/>
        <v/>
      </c>
      <c r="W24" s="11" t="str">
        <f t="shared" si="66"/>
        <v/>
      </c>
      <c r="X24" s="11" t="str">
        <f t="shared" si="66"/>
        <v/>
      </c>
      <c r="Y24" s="11" t="str">
        <f t="shared" si="66"/>
        <v/>
      </c>
      <c r="Z24" s="11" t="str">
        <f t="shared" si="66"/>
        <v/>
      </c>
      <c r="AA24" s="11" t="str">
        <f t="shared" si="66"/>
        <v/>
      </c>
      <c r="AB24" s="11" t="str">
        <f t="shared" si="67"/>
        <v/>
      </c>
      <c r="AC24" s="11" t="str">
        <f t="shared" si="67"/>
        <v/>
      </c>
      <c r="AD24" s="11" t="str">
        <f t="shared" si="67"/>
        <v/>
      </c>
      <c r="AE24" s="11" t="str">
        <f t="shared" si="67"/>
        <v/>
      </c>
      <c r="AF24" s="11" t="str">
        <f t="shared" si="67"/>
        <v/>
      </c>
      <c r="AG24" s="11" t="str">
        <f t="shared" si="67"/>
        <v/>
      </c>
      <c r="AH24" s="11" t="str">
        <f t="shared" si="67"/>
        <v/>
      </c>
      <c r="AI24" s="11" t="str">
        <f t="shared" si="67"/>
        <v/>
      </c>
      <c r="AJ24" s="11" t="str">
        <f t="shared" si="67"/>
        <v/>
      </c>
      <c r="AK24" s="11" t="str">
        <f t="shared" si="67"/>
        <v/>
      </c>
      <c r="AL24" s="11" t="str">
        <f t="shared" si="68"/>
        <v/>
      </c>
      <c r="AM24" s="11" t="str">
        <f t="shared" si="68"/>
        <v/>
      </c>
      <c r="AN24" s="11" t="str">
        <f t="shared" si="68"/>
        <v/>
      </c>
      <c r="AO24" s="11" t="str">
        <f t="shared" si="68"/>
        <v/>
      </c>
      <c r="AP24" s="11" t="str">
        <f t="shared" si="68"/>
        <v/>
      </c>
      <c r="AQ24" s="11" t="str">
        <f t="shared" si="68"/>
        <v/>
      </c>
      <c r="AR24" s="11" t="str">
        <f t="shared" si="68"/>
        <v/>
      </c>
      <c r="AS24" s="11" t="str">
        <f t="shared" si="68"/>
        <v/>
      </c>
      <c r="AT24" s="11" t="str">
        <f t="shared" si="68"/>
        <v/>
      </c>
      <c r="AU24" s="11" t="str">
        <f t="shared" si="68"/>
        <v/>
      </c>
      <c r="AV24" s="11" t="str">
        <f t="shared" si="69"/>
        <v/>
      </c>
      <c r="AW24" s="11" t="str">
        <f t="shared" si="69"/>
        <v/>
      </c>
      <c r="AX24" s="11" t="str">
        <f t="shared" si="69"/>
        <v/>
      </c>
      <c r="AY24" s="11" t="str">
        <f t="shared" si="69"/>
        <v/>
      </c>
      <c r="AZ24" s="11" t="str">
        <f t="shared" si="69"/>
        <v/>
      </c>
      <c r="BA24" s="11" t="str">
        <f t="shared" si="69"/>
        <v/>
      </c>
      <c r="BB24" s="11" t="str">
        <f t="shared" si="69"/>
        <v/>
      </c>
      <c r="BC24" s="11" t="str">
        <f t="shared" si="69"/>
        <v/>
      </c>
      <c r="BD24" s="11" t="str">
        <f t="shared" si="69"/>
        <v/>
      </c>
      <c r="BE24" s="11" t="str">
        <f t="shared" si="69"/>
        <v/>
      </c>
      <c r="BF24" s="11" t="str">
        <f t="shared" si="70"/>
        <v/>
      </c>
      <c r="BG24" s="11" t="str">
        <f t="shared" si="70"/>
        <v/>
      </c>
      <c r="BH24" s="11" t="str">
        <f t="shared" si="70"/>
        <v/>
      </c>
      <c r="BI24" s="11" t="str">
        <f t="shared" si="70"/>
        <v/>
      </c>
      <c r="BJ24" s="11" t="str">
        <f t="shared" si="70"/>
        <v/>
      </c>
      <c r="BK24" s="11" t="str">
        <f t="shared" si="70"/>
        <v/>
      </c>
      <c r="BL24" s="11" t="str">
        <f t="shared" si="70"/>
        <v/>
      </c>
      <c r="BM24" s="11" t="str">
        <f t="shared" si="70"/>
        <v/>
      </c>
      <c r="BN24" s="11" t="str">
        <f t="shared" si="70"/>
        <v/>
      </c>
      <c r="BO24" s="11" t="str">
        <f t="shared" si="70"/>
        <v/>
      </c>
      <c r="BP24" s="11" t="str">
        <f t="shared" si="71"/>
        <v/>
      </c>
      <c r="BQ24" s="11" t="str">
        <f t="shared" si="71"/>
        <v/>
      </c>
      <c r="BR24" s="11" t="str">
        <f t="shared" si="71"/>
        <v/>
      </c>
      <c r="BS24" s="11" t="str">
        <f t="shared" si="71"/>
        <v/>
      </c>
      <c r="BT24" s="11" t="str">
        <f t="shared" si="71"/>
        <v/>
      </c>
      <c r="BU24" s="11" t="str">
        <f t="shared" si="71"/>
        <v/>
      </c>
      <c r="BV24" s="11" t="str">
        <f t="shared" si="71"/>
        <v/>
      </c>
      <c r="BW24" s="11" t="str">
        <f t="shared" si="71"/>
        <v/>
      </c>
      <c r="BX24" s="11" t="str">
        <f t="shared" si="71"/>
        <v/>
      </c>
      <c r="BY24" s="11" t="str">
        <f t="shared" si="71"/>
        <v/>
      </c>
      <c r="BZ24" s="11" t="str">
        <f t="shared" si="72"/>
        <v/>
      </c>
      <c r="CA24" s="11" t="str">
        <f t="shared" si="72"/>
        <v/>
      </c>
      <c r="CB24" s="11" t="str">
        <f t="shared" si="72"/>
        <v/>
      </c>
      <c r="CC24" s="11" t="str">
        <f t="shared" si="72"/>
        <v/>
      </c>
      <c r="CD24" s="11" t="str">
        <f t="shared" si="72"/>
        <v/>
      </c>
      <c r="CE24" s="11" t="str">
        <f t="shared" si="72"/>
        <v/>
      </c>
      <c r="CF24" s="11" t="str">
        <f t="shared" si="72"/>
        <v/>
      </c>
      <c r="CG24" s="11" t="str">
        <f t="shared" si="72"/>
        <v/>
      </c>
      <c r="CH24" s="11" t="str">
        <f t="shared" si="72"/>
        <v/>
      </c>
      <c r="CI24" s="11" t="str">
        <f t="shared" si="72"/>
        <v/>
      </c>
      <c r="CJ24" s="11" t="str">
        <f t="shared" si="73"/>
        <v/>
      </c>
      <c r="CK24" s="11" t="str">
        <f t="shared" si="73"/>
        <v/>
      </c>
      <c r="CL24" s="11" t="str">
        <f t="shared" si="73"/>
        <v/>
      </c>
      <c r="CM24" s="11" t="str">
        <f t="shared" si="73"/>
        <v/>
      </c>
      <c r="CN24" s="11" t="str">
        <f t="shared" si="73"/>
        <v/>
      </c>
      <c r="CO24" s="11" t="str">
        <f t="shared" si="73"/>
        <v/>
      </c>
      <c r="CP24" s="11" t="str">
        <f t="shared" si="73"/>
        <v/>
      </c>
      <c r="CQ24" s="11" t="str">
        <f t="shared" si="73"/>
        <v/>
      </c>
      <c r="CR24" s="11" t="str">
        <f t="shared" si="73"/>
        <v/>
      </c>
      <c r="CS24" s="11" t="str">
        <f t="shared" si="73"/>
        <v/>
      </c>
      <c r="CT24" s="11" t="str">
        <f t="shared" si="74"/>
        <v/>
      </c>
      <c r="CU24" s="11" t="str">
        <f t="shared" si="74"/>
        <v/>
      </c>
      <c r="CV24" s="11" t="str">
        <f t="shared" si="74"/>
        <v/>
      </c>
      <c r="CW24" s="11" t="str">
        <f t="shared" si="74"/>
        <v/>
      </c>
      <c r="CX24" s="11" t="str">
        <f t="shared" si="74"/>
        <v/>
      </c>
      <c r="CY24" s="11" t="str">
        <f t="shared" si="74"/>
        <v/>
      </c>
      <c r="CZ24" s="11" t="str">
        <f t="shared" si="74"/>
        <v/>
      </c>
      <c r="DA24" s="11" t="str">
        <f t="shared" si="74"/>
        <v/>
      </c>
      <c r="DB24" s="11" t="str">
        <f t="shared" si="74"/>
        <v/>
      </c>
      <c r="DC24" s="11" t="str">
        <f t="shared" si="74"/>
        <v/>
      </c>
      <c r="DD24" s="11" t="str">
        <f t="shared" si="74"/>
        <v/>
      </c>
      <c r="DE24" s="11" t="str">
        <f t="shared" si="74"/>
        <v/>
      </c>
      <c r="DF24" s="11" t="str">
        <f t="shared" si="74"/>
        <v/>
      </c>
    </row>
    <row r="25" spans="1:110" s="1" customFormat="1" ht="40.15" customHeight="1" x14ac:dyDescent="0.35">
      <c r="A25" s="4"/>
      <c r="B25" s="43" t="s">
        <v>19</v>
      </c>
      <c r="C25" s="13" t="s">
        <v>3</v>
      </c>
      <c r="D25" s="14">
        <v>46045</v>
      </c>
      <c r="E25" s="14">
        <f>Milestones4352[[#This Row],[Ínicio]]+Milestones4352[[#This Row],[Nº Dias]]-1</f>
        <v>46059</v>
      </c>
      <c r="F25" s="15">
        <v>15</v>
      </c>
      <c r="G25" s="13"/>
      <c r="H25" s="11" t="str">
        <f t="shared" si="65"/>
        <v/>
      </c>
      <c r="I25" s="11" t="str">
        <f t="shared" si="65"/>
        <v/>
      </c>
      <c r="J25" s="11" t="str">
        <f t="shared" si="65"/>
        <v/>
      </c>
      <c r="K25" s="11" t="str">
        <f t="shared" si="65"/>
        <v/>
      </c>
      <c r="L25" s="11" t="str">
        <f t="shared" si="65"/>
        <v/>
      </c>
      <c r="M25" s="11" t="str">
        <f t="shared" si="65"/>
        <v/>
      </c>
      <c r="N25" s="11" t="str">
        <f t="shared" si="65"/>
        <v/>
      </c>
      <c r="O25" s="11" t="str">
        <f t="shared" si="65"/>
        <v/>
      </c>
      <c r="P25" s="11" t="str">
        <f t="shared" si="65"/>
        <v/>
      </c>
      <c r="Q25" s="11" t="str">
        <f t="shared" si="65"/>
        <v/>
      </c>
      <c r="R25" s="11" t="str">
        <f t="shared" si="66"/>
        <v/>
      </c>
      <c r="S25" s="11" t="str">
        <f t="shared" si="66"/>
        <v/>
      </c>
      <c r="T25" s="11" t="str">
        <f t="shared" si="66"/>
        <v/>
      </c>
      <c r="U25" s="11" t="str">
        <f t="shared" si="66"/>
        <v/>
      </c>
      <c r="V25" s="11" t="str">
        <f t="shared" si="66"/>
        <v/>
      </c>
      <c r="W25" s="11" t="str">
        <f t="shared" si="66"/>
        <v/>
      </c>
      <c r="X25" s="11" t="str">
        <f t="shared" si="66"/>
        <v/>
      </c>
      <c r="Y25" s="11" t="str">
        <f t="shared" si="66"/>
        <v/>
      </c>
      <c r="Z25" s="11" t="str">
        <f t="shared" si="66"/>
        <v/>
      </c>
      <c r="AA25" s="11" t="str">
        <f t="shared" si="66"/>
        <v/>
      </c>
      <c r="AB25" s="11" t="str">
        <f t="shared" si="67"/>
        <v/>
      </c>
      <c r="AC25" s="11" t="str">
        <f t="shared" si="67"/>
        <v/>
      </c>
      <c r="AD25" s="11" t="str">
        <f t="shared" si="67"/>
        <v/>
      </c>
      <c r="AE25" s="11" t="str">
        <f t="shared" si="67"/>
        <v/>
      </c>
      <c r="AF25" s="11" t="str">
        <f t="shared" si="67"/>
        <v/>
      </c>
      <c r="AG25" s="11" t="str">
        <f t="shared" si="67"/>
        <v/>
      </c>
      <c r="AH25" s="11" t="str">
        <f t="shared" si="67"/>
        <v/>
      </c>
      <c r="AI25" s="11" t="str">
        <f t="shared" si="67"/>
        <v/>
      </c>
      <c r="AJ25" s="11" t="str">
        <f t="shared" si="67"/>
        <v/>
      </c>
      <c r="AK25" s="11" t="str">
        <f t="shared" si="67"/>
        <v/>
      </c>
      <c r="AL25" s="11" t="str">
        <f t="shared" si="68"/>
        <v/>
      </c>
      <c r="AM25" s="11" t="str">
        <f t="shared" si="68"/>
        <v/>
      </c>
      <c r="AN25" s="11" t="str">
        <f t="shared" si="68"/>
        <v/>
      </c>
      <c r="AO25" s="11" t="str">
        <f t="shared" si="68"/>
        <v/>
      </c>
      <c r="AP25" s="11" t="str">
        <f t="shared" si="68"/>
        <v/>
      </c>
      <c r="AQ25" s="11" t="str">
        <f t="shared" si="68"/>
        <v/>
      </c>
      <c r="AR25" s="11" t="str">
        <f t="shared" si="68"/>
        <v/>
      </c>
      <c r="AS25" s="11" t="str">
        <f t="shared" si="68"/>
        <v/>
      </c>
      <c r="AT25" s="11" t="str">
        <f t="shared" si="68"/>
        <v/>
      </c>
      <c r="AU25" s="11" t="str">
        <f t="shared" si="68"/>
        <v/>
      </c>
      <c r="AV25" s="11" t="str">
        <f t="shared" si="69"/>
        <v/>
      </c>
      <c r="AW25" s="11" t="str">
        <f t="shared" si="69"/>
        <v/>
      </c>
      <c r="AX25" s="11" t="str">
        <f t="shared" si="69"/>
        <v/>
      </c>
      <c r="AY25" s="11" t="str">
        <f t="shared" si="69"/>
        <v/>
      </c>
      <c r="AZ25" s="11" t="str">
        <f t="shared" si="69"/>
        <v/>
      </c>
      <c r="BA25" s="11" t="str">
        <f t="shared" si="69"/>
        <v/>
      </c>
      <c r="BB25" s="11" t="str">
        <f t="shared" si="69"/>
        <v/>
      </c>
      <c r="BC25" s="11" t="str">
        <f t="shared" si="69"/>
        <v/>
      </c>
      <c r="BD25" s="11" t="str">
        <f t="shared" si="69"/>
        <v/>
      </c>
      <c r="BE25" s="11" t="str">
        <f t="shared" si="69"/>
        <v/>
      </c>
      <c r="BF25" s="11" t="str">
        <f t="shared" si="70"/>
        <v/>
      </c>
      <c r="BG25" s="11" t="str">
        <f t="shared" si="70"/>
        <v/>
      </c>
      <c r="BH25" s="11" t="str">
        <f t="shared" si="70"/>
        <v/>
      </c>
      <c r="BI25" s="11" t="str">
        <f t="shared" si="70"/>
        <v/>
      </c>
      <c r="BJ25" s="11" t="str">
        <f t="shared" si="70"/>
        <v/>
      </c>
      <c r="BK25" s="11" t="str">
        <f t="shared" si="70"/>
        <v/>
      </c>
      <c r="BL25" s="11" t="str">
        <f t="shared" si="70"/>
        <v/>
      </c>
      <c r="BM25" s="11" t="str">
        <f t="shared" si="70"/>
        <v/>
      </c>
      <c r="BN25" s="11" t="str">
        <f t="shared" si="70"/>
        <v/>
      </c>
      <c r="BO25" s="11" t="str">
        <f t="shared" si="70"/>
        <v/>
      </c>
      <c r="BP25" s="11" t="str">
        <f t="shared" si="71"/>
        <v/>
      </c>
      <c r="BQ25" s="11" t="str">
        <f t="shared" si="71"/>
        <v/>
      </c>
      <c r="BR25" s="11" t="str">
        <f t="shared" si="71"/>
        <v/>
      </c>
      <c r="BS25" s="11" t="str">
        <f t="shared" si="71"/>
        <v/>
      </c>
      <c r="BT25" s="11" t="str">
        <f t="shared" si="71"/>
        <v/>
      </c>
      <c r="BU25" s="11" t="str">
        <f t="shared" si="71"/>
        <v/>
      </c>
      <c r="BV25" s="11" t="str">
        <f t="shared" si="71"/>
        <v/>
      </c>
      <c r="BW25" s="11" t="str">
        <f t="shared" si="71"/>
        <v/>
      </c>
      <c r="BX25" s="11" t="str">
        <f t="shared" si="71"/>
        <v/>
      </c>
      <c r="BY25" s="11" t="str">
        <f t="shared" si="71"/>
        <v/>
      </c>
      <c r="BZ25" s="11" t="str">
        <f t="shared" si="72"/>
        <v/>
      </c>
      <c r="CA25" s="11" t="str">
        <f t="shared" si="72"/>
        <v/>
      </c>
      <c r="CB25" s="11" t="str">
        <f t="shared" si="72"/>
        <v/>
      </c>
      <c r="CC25" s="11" t="str">
        <f t="shared" si="72"/>
        <v/>
      </c>
      <c r="CD25" s="11" t="str">
        <f t="shared" si="72"/>
        <v/>
      </c>
      <c r="CE25" s="11" t="str">
        <f t="shared" si="72"/>
        <v/>
      </c>
      <c r="CF25" s="11" t="str">
        <f t="shared" si="72"/>
        <v/>
      </c>
      <c r="CG25" s="11" t="str">
        <f t="shared" si="72"/>
        <v/>
      </c>
      <c r="CH25" s="11" t="str">
        <f t="shared" si="72"/>
        <v/>
      </c>
      <c r="CI25" s="11" t="str">
        <f t="shared" si="72"/>
        <v/>
      </c>
      <c r="CJ25" s="11" t="str">
        <f t="shared" si="73"/>
        <v/>
      </c>
      <c r="CK25" s="11" t="str">
        <f t="shared" si="73"/>
        <v/>
      </c>
      <c r="CL25" s="11" t="str">
        <f t="shared" si="73"/>
        <v/>
      </c>
      <c r="CM25" s="11" t="str">
        <f t="shared" si="73"/>
        <v/>
      </c>
      <c r="CN25" s="11" t="str">
        <f t="shared" si="73"/>
        <v/>
      </c>
      <c r="CO25" s="11" t="str">
        <f t="shared" si="73"/>
        <v/>
      </c>
      <c r="CP25" s="11" t="str">
        <f t="shared" si="73"/>
        <v/>
      </c>
      <c r="CQ25" s="11" t="str">
        <f t="shared" si="73"/>
        <v/>
      </c>
      <c r="CR25" s="11" t="str">
        <f t="shared" si="73"/>
        <v/>
      </c>
      <c r="CS25" s="11" t="str">
        <f t="shared" si="73"/>
        <v/>
      </c>
      <c r="CT25" s="11" t="str">
        <f t="shared" si="74"/>
        <v/>
      </c>
      <c r="CU25" s="11" t="str">
        <f t="shared" si="74"/>
        <v/>
      </c>
      <c r="CV25" s="11" t="str">
        <f t="shared" si="74"/>
        <v/>
      </c>
      <c r="CW25" s="11" t="str">
        <f t="shared" si="74"/>
        <v/>
      </c>
      <c r="CX25" s="11" t="str">
        <f t="shared" si="74"/>
        <v/>
      </c>
      <c r="CY25" s="11" t="str">
        <f t="shared" si="74"/>
        <v/>
      </c>
      <c r="CZ25" s="11" t="str">
        <f t="shared" si="74"/>
        <v/>
      </c>
      <c r="DA25" s="11" t="str">
        <f t="shared" si="74"/>
        <v/>
      </c>
      <c r="DB25" s="11" t="str">
        <f t="shared" si="74"/>
        <v/>
      </c>
      <c r="DC25" s="11" t="str">
        <f t="shared" si="74"/>
        <v/>
      </c>
      <c r="DD25" s="11" t="str">
        <f t="shared" si="74"/>
        <v/>
      </c>
      <c r="DE25" s="11" t="str">
        <f t="shared" si="74"/>
        <v/>
      </c>
      <c r="DF25" s="11" t="str">
        <f t="shared" si="74"/>
        <v/>
      </c>
    </row>
    <row r="26" spans="1:110" s="1" customFormat="1" ht="40.15" customHeight="1" x14ac:dyDescent="0.35">
      <c r="A26" s="4"/>
      <c r="B26" s="43" t="s">
        <v>20</v>
      </c>
      <c r="C26" s="13" t="s">
        <v>3</v>
      </c>
      <c r="D26" s="14">
        <f>D25</f>
        <v>46045</v>
      </c>
      <c r="E26" s="14">
        <f>Milestones4352[[#This Row],[Ínicio]]+Milestones4352[[#This Row],[Nº Dias]]-1</f>
        <v>46059</v>
      </c>
      <c r="F26" s="15">
        <v>15</v>
      </c>
      <c r="G26" s="13"/>
      <c r="H26" s="11" t="str">
        <f t="shared" si="65"/>
        <v/>
      </c>
      <c r="I26" s="11" t="str">
        <f t="shared" si="65"/>
        <v/>
      </c>
      <c r="J26" s="11" t="str">
        <f t="shared" si="65"/>
        <v/>
      </c>
      <c r="K26" s="11" t="str">
        <f t="shared" si="65"/>
        <v/>
      </c>
      <c r="L26" s="11" t="str">
        <f t="shared" si="65"/>
        <v/>
      </c>
      <c r="M26" s="11" t="str">
        <f t="shared" si="65"/>
        <v/>
      </c>
      <c r="N26" s="11" t="str">
        <f t="shared" si="65"/>
        <v/>
      </c>
      <c r="O26" s="11" t="str">
        <f t="shared" si="65"/>
        <v/>
      </c>
      <c r="P26" s="11" t="str">
        <f t="shared" si="65"/>
        <v/>
      </c>
      <c r="Q26" s="11" t="str">
        <f t="shared" si="65"/>
        <v/>
      </c>
      <c r="R26" s="11" t="str">
        <f t="shared" si="66"/>
        <v/>
      </c>
      <c r="S26" s="11" t="str">
        <f t="shared" si="66"/>
        <v/>
      </c>
      <c r="T26" s="11" t="str">
        <f t="shared" si="66"/>
        <v/>
      </c>
      <c r="U26" s="11" t="str">
        <f t="shared" si="66"/>
        <v/>
      </c>
      <c r="V26" s="11" t="str">
        <f t="shared" si="66"/>
        <v/>
      </c>
      <c r="W26" s="11" t="str">
        <f t="shared" si="66"/>
        <v/>
      </c>
      <c r="X26" s="11" t="str">
        <f t="shared" si="66"/>
        <v/>
      </c>
      <c r="Y26" s="11" t="str">
        <f t="shared" si="66"/>
        <v/>
      </c>
      <c r="Z26" s="11" t="str">
        <f t="shared" si="66"/>
        <v/>
      </c>
      <c r="AA26" s="11" t="str">
        <f t="shared" si="66"/>
        <v/>
      </c>
      <c r="AB26" s="11" t="str">
        <f t="shared" si="67"/>
        <v/>
      </c>
      <c r="AC26" s="11" t="str">
        <f t="shared" si="67"/>
        <v/>
      </c>
      <c r="AD26" s="11" t="str">
        <f t="shared" si="67"/>
        <v/>
      </c>
      <c r="AE26" s="11" t="str">
        <f t="shared" si="67"/>
        <v/>
      </c>
      <c r="AF26" s="11" t="str">
        <f t="shared" si="67"/>
        <v/>
      </c>
      <c r="AG26" s="11" t="str">
        <f t="shared" si="67"/>
        <v/>
      </c>
      <c r="AH26" s="11" t="str">
        <f t="shared" si="67"/>
        <v/>
      </c>
      <c r="AI26" s="11" t="str">
        <f t="shared" si="67"/>
        <v/>
      </c>
      <c r="AJ26" s="11" t="str">
        <f t="shared" si="67"/>
        <v/>
      </c>
      <c r="AK26" s="11" t="str">
        <f t="shared" si="67"/>
        <v/>
      </c>
      <c r="AL26" s="11" t="str">
        <f t="shared" si="68"/>
        <v/>
      </c>
      <c r="AM26" s="11" t="str">
        <f t="shared" si="68"/>
        <v/>
      </c>
      <c r="AN26" s="11" t="str">
        <f t="shared" si="68"/>
        <v/>
      </c>
      <c r="AO26" s="11" t="str">
        <f t="shared" si="68"/>
        <v/>
      </c>
      <c r="AP26" s="11" t="str">
        <f t="shared" si="68"/>
        <v/>
      </c>
      <c r="AQ26" s="11" t="str">
        <f t="shared" si="68"/>
        <v/>
      </c>
      <c r="AR26" s="11" t="str">
        <f t="shared" si="68"/>
        <v/>
      </c>
      <c r="AS26" s="11" t="str">
        <f t="shared" si="68"/>
        <v/>
      </c>
      <c r="AT26" s="11" t="str">
        <f t="shared" si="68"/>
        <v/>
      </c>
      <c r="AU26" s="11" t="str">
        <f t="shared" si="68"/>
        <v/>
      </c>
      <c r="AV26" s="11" t="str">
        <f t="shared" si="69"/>
        <v/>
      </c>
      <c r="AW26" s="11" t="str">
        <f t="shared" si="69"/>
        <v/>
      </c>
      <c r="AX26" s="11" t="str">
        <f t="shared" si="69"/>
        <v/>
      </c>
      <c r="AY26" s="11" t="str">
        <f t="shared" si="69"/>
        <v/>
      </c>
      <c r="AZ26" s="11" t="str">
        <f t="shared" si="69"/>
        <v/>
      </c>
      <c r="BA26" s="11" t="str">
        <f t="shared" si="69"/>
        <v/>
      </c>
      <c r="BB26" s="11" t="str">
        <f t="shared" si="69"/>
        <v/>
      </c>
      <c r="BC26" s="11" t="str">
        <f t="shared" si="69"/>
        <v/>
      </c>
      <c r="BD26" s="11" t="str">
        <f t="shared" si="69"/>
        <v/>
      </c>
      <c r="BE26" s="11" t="str">
        <f t="shared" si="69"/>
        <v/>
      </c>
      <c r="BF26" s="11" t="str">
        <f t="shared" si="70"/>
        <v/>
      </c>
      <c r="BG26" s="11" t="str">
        <f t="shared" si="70"/>
        <v/>
      </c>
      <c r="BH26" s="11" t="str">
        <f t="shared" si="70"/>
        <v/>
      </c>
      <c r="BI26" s="11" t="str">
        <f t="shared" si="70"/>
        <v/>
      </c>
      <c r="BJ26" s="11" t="str">
        <f t="shared" si="70"/>
        <v/>
      </c>
      <c r="BK26" s="11" t="str">
        <f t="shared" si="70"/>
        <v/>
      </c>
      <c r="BL26" s="11" t="str">
        <f t="shared" si="70"/>
        <v/>
      </c>
      <c r="BM26" s="11" t="str">
        <f t="shared" si="70"/>
        <v/>
      </c>
      <c r="BN26" s="11" t="str">
        <f t="shared" si="70"/>
        <v/>
      </c>
      <c r="BO26" s="11" t="str">
        <f t="shared" si="70"/>
        <v/>
      </c>
      <c r="BP26" s="11" t="str">
        <f t="shared" si="71"/>
        <v/>
      </c>
      <c r="BQ26" s="11" t="str">
        <f t="shared" si="71"/>
        <v/>
      </c>
      <c r="BR26" s="11" t="str">
        <f t="shared" si="71"/>
        <v/>
      </c>
      <c r="BS26" s="11" t="str">
        <f t="shared" si="71"/>
        <v/>
      </c>
      <c r="BT26" s="11" t="str">
        <f t="shared" si="71"/>
        <v/>
      </c>
      <c r="BU26" s="11" t="str">
        <f t="shared" si="71"/>
        <v/>
      </c>
      <c r="BV26" s="11" t="str">
        <f t="shared" si="71"/>
        <v/>
      </c>
      <c r="BW26" s="11" t="str">
        <f t="shared" si="71"/>
        <v/>
      </c>
      <c r="BX26" s="11" t="str">
        <f t="shared" si="71"/>
        <v/>
      </c>
      <c r="BY26" s="11" t="str">
        <f t="shared" si="71"/>
        <v/>
      </c>
      <c r="BZ26" s="11" t="str">
        <f t="shared" si="72"/>
        <v/>
      </c>
      <c r="CA26" s="11" t="str">
        <f t="shared" si="72"/>
        <v/>
      </c>
      <c r="CB26" s="11" t="str">
        <f t="shared" si="72"/>
        <v/>
      </c>
      <c r="CC26" s="11" t="str">
        <f t="shared" si="72"/>
        <v/>
      </c>
      <c r="CD26" s="11" t="str">
        <f t="shared" si="72"/>
        <v/>
      </c>
      <c r="CE26" s="11" t="str">
        <f t="shared" si="72"/>
        <v/>
      </c>
      <c r="CF26" s="11" t="str">
        <f t="shared" si="72"/>
        <v/>
      </c>
      <c r="CG26" s="11" t="str">
        <f t="shared" si="72"/>
        <v/>
      </c>
      <c r="CH26" s="11" t="str">
        <f t="shared" si="72"/>
        <v/>
      </c>
      <c r="CI26" s="11" t="str">
        <f t="shared" si="72"/>
        <v/>
      </c>
      <c r="CJ26" s="11" t="str">
        <f t="shared" si="73"/>
        <v/>
      </c>
      <c r="CK26" s="11" t="str">
        <f t="shared" si="73"/>
        <v/>
      </c>
      <c r="CL26" s="11" t="str">
        <f t="shared" si="73"/>
        <v/>
      </c>
      <c r="CM26" s="11" t="str">
        <f t="shared" si="73"/>
        <v/>
      </c>
      <c r="CN26" s="11" t="str">
        <f t="shared" si="73"/>
        <v/>
      </c>
      <c r="CO26" s="11" t="str">
        <f t="shared" si="73"/>
        <v/>
      </c>
      <c r="CP26" s="11" t="str">
        <f t="shared" si="73"/>
        <v/>
      </c>
      <c r="CQ26" s="11" t="str">
        <f t="shared" si="73"/>
        <v/>
      </c>
      <c r="CR26" s="11" t="str">
        <f t="shared" si="73"/>
        <v/>
      </c>
      <c r="CS26" s="11" t="str">
        <f t="shared" si="73"/>
        <v/>
      </c>
      <c r="CT26" s="11" t="str">
        <f t="shared" si="74"/>
        <v/>
      </c>
      <c r="CU26" s="11" t="str">
        <f t="shared" si="74"/>
        <v/>
      </c>
      <c r="CV26" s="11" t="str">
        <f t="shared" si="74"/>
        <v/>
      </c>
      <c r="CW26" s="11" t="str">
        <f t="shared" si="74"/>
        <v/>
      </c>
      <c r="CX26" s="11" t="str">
        <f t="shared" si="74"/>
        <v/>
      </c>
      <c r="CY26" s="11" t="str">
        <f t="shared" si="74"/>
        <v/>
      </c>
      <c r="CZ26" s="11" t="str">
        <f t="shared" si="74"/>
        <v/>
      </c>
      <c r="DA26" s="11" t="str">
        <f t="shared" si="74"/>
        <v/>
      </c>
      <c r="DB26" s="11" t="str">
        <f t="shared" si="74"/>
        <v/>
      </c>
      <c r="DC26" s="11" t="str">
        <f t="shared" si="74"/>
        <v/>
      </c>
      <c r="DD26" s="11" t="str">
        <f t="shared" si="74"/>
        <v/>
      </c>
      <c r="DE26" s="11" t="str">
        <f t="shared" si="74"/>
        <v/>
      </c>
      <c r="DF26" s="11" t="str">
        <f t="shared" si="74"/>
        <v/>
      </c>
    </row>
    <row r="27" spans="1:110" ht="30" customHeight="1" x14ac:dyDescent="0.35">
      <c r="F27" s="6"/>
      <c r="G27" s="3"/>
    </row>
  </sheetData>
  <mergeCells count="8">
    <mergeCell ref="W4:Z4"/>
    <mergeCell ref="AB4:AE4"/>
    <mergeCell ref="B2:G2"/>
    <mergeCell ref="H2:M2"/>
    <mergeCell ref="N2:S2"/>
    <mergeCell ref="H4:K4"/>
    <mergeCell ref="M4:P4"/>
    <mergeCell ref="R4:U4"/>
  </mergeCells>
  <phoneticPr fontId="20" type="noConversion"/>
  <conditionalFormatting sqref="H6:AL6">
    <cfRule type="expression" dxfId="23" priority="19">
      <formula>H$7&lt;=EOMONTH($H$7,0)</formula>
    </cfRule>
  </conditionalFormatting>
  <conditionalFormatting sqref="H10:DF26">
    <cfRule type="expression" dxfId="22" priority="324" stopIfTrue="1">
      <formula>AND($C10="Low Risk",H$7&gt;=$D10,H$7&lt;=$D10+$F10-1)</formula>
    </cfRule>
    <cfRule type="expression" dxfId="21" priority="325" stopIfTrue="1">
      <formula>AND($C10="High Risk",H$7&gt;=$D10,H$7&lt;=$D10+$F10-1)</formula>
    </cfRule>
    <cfRule type="expression" dxfId="20" priority="326" stopIfTrue="1">
      <formula>AND($C10="On Track",H$7&gt;=$D10,H$7&lt;=$D10+$F10-1)</formula>
    </cfRule>
    <cfRule type="expression" dxfId="19" priority="327" stopIfTrue="1">
      <formula>AND($C10="Med Risk",H$7&gt;=$D10,H$7&lt;=$D10+$F10-1)</formula>
    </cfRule>
    <cfRule type="expression" dxfId="18" priority="328" stopIfTrue="1">
      <formula>AND(LEN($C10)=0,H$7&gt;=$D10,H$7&lt;=$D10+$F10-1)</formula>
    </cfRule>
  </conditionalFormatting>
  <conditionalFormatting sqref="H21:DF23 H25:DF25">
    <cfRule type="expression" dxfId="17" priority="329" stopIfTrue="1">
      <formula>AND($C21="Low Risk",H$7&gt;=$D21,H$7&lt;=$D21+$F21-1)</formula>
    </cfRule>
    <cfRule type="expression" dxfId="16" priority="330" stopIfTrue="1">
      <formula>AND($C21="High Risk",H$7&gt;=$D21,H$7&lt;=$D21+$F21-1)</formula>
    </cfRule>
    <cfRule type="expression" dxfId="15" priority="331" stopIfTrue="1">
      <formula>AND($C21="On Track",H$7&gt;=$D21,H$7&lt;=$D21+$F21-1)</formula>
    </cfRule>
    <cfRule type="expression" dxfId="14" priority="332" stopIfTrue="1">
      <formula>AND($C21="Med Risk",H$7&gt;=$D21,H$7&lt;=$D21+$F21-1)</formula>
    </cfRule>
    <cfRule type="expression" dxfId="13" priority="333" stopIfTrue="1">
      <formula>AND(LEN($C21)=0,H$7&gt;=$D21,H$7&lt;=$D21+$F21-1)</formula>
    </cfRule>
  </conditionalFormatting>
  <conditionalFormatting sqref="H23:DF23">
    <cfRule type="expression" dxfId="12" priority="340" stopIfTrue="1">
      <formula>AND($C24="Low Risk",H$7&gt;=$D24,H$7&lt;=$D24+$F24-1)</formula>
    </cfRule>
    <cfRule type="expression" dxfId="11" priority="341" stopIfTrue="1">
      <formula>AND($C24="High Risk",H$7&gt;=$D24,H$7&lt;=$D24+$F24-1)</formula>
    </cfRule>
    <cfRule type="expression" dxfId="10" priority="342" stopIfTrue="1">
      <formula>AND($C24="On Track",H$7&gt;=$D24,H$7&lt;=$D24+$F24-1)</formula>
    </cfRule>
    <cfRule type="expression" dxfId="9" priority="343" stopIfTrue="1">
      <formula>AND($C24="Med Risk",H$7&gt;=$D24,H$7&lt;=$D24+$F24-1)</formula>
    </cfRule>
    <cfRule type="expression" dxfId="8" priority="344" stopIfTrue="1">
      <formula>AND(LEN($C24)=0,H$7&gt;=$D24,H$7&lt;=$D24+$F24-1)</formula>
    </cfRule>
  </conditionalFormatting>
  <conditionalFormatting sqref="H24:DF24 H26:DF26">
    <cfRule type="expression" dxfId="7" priority="292" stopIfTrue="1">
      <formula>AND(#REF!="Low Risk",H$7&gt;=#REF!,H$7&lt;=#REF!+#REF!-1)</formula>
    </cfRule>
    <cfRule type="expression" dxfId="6" priority="293" stopIfTrue="1">
      <formula>AND(#REF!="High Risk",H$7&gt;=#REF!,H$7&lt;=#REF!+#REF!-1)</formula>
    </cfRule>
    <cfRule type="expression" dxfId="5" priority="294" stopIfTrue="1">
      <formula>AND(#REF!="On Track",H$7&gt;=#REF!,H$7&lt;=#REF!+#REF!-1)</formula>
    </cfRule>
    <cfRule type="expression" dxfId="4" priority="295" stopIfTrue="1">
      <formula>AND(#REF!="Med Risk",H$7&gt;=#REF!,H$7&lt;=#REF!+#REF!-1)</formula>
    </cfRule>
    <cfRule type="expression" dxfId="3" priority="296" stopIfTrue="1">
      <formula>AND(LEN(#REF!)=0,H$7&gt;=#REF!,H$7&lt;=#REF!+#REF!-1)</formula>
    </cfRule>
  </conditionalFormatting>
  <conditionalFormatting sqref="I6:BT6 CZ6:DF6">
    <cfRule type="expression" dxfId="2" priority="18">
      <formula>AND(I$7&lt;=EOMONTH($H$7,2),I$7&gt;EOMONTH($H$7,0),I$7&gt;EOMONTH($H$7,1))</formula>
    </cfRule>
  </conditionalFormatting>
  <conditionalFormatting sqref="CZ6:DF6 H6:BT6">
    <cfRule type="expression" dxfId="1" priority="17">
      <formula>AND(H$7&lt;=EOMONTH($H$7,1),H$7&gt;EOMONTH($H$7,0))</formula>
    </cfRule>
  </conditionalFormatting>
  <conditionalFormatting sqref="CZ6:DF6">
    <cfRule type="expression" dxfId="0" priority="13">
      <formula>CZ$7&lt;=EOMONTH($H$7,0)</formula>
    </cfRule>
  </conditionalFormatting>
  <dataValidations count="11">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26"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s>
  <printOptions horizontalCentered="1"/>
  <pageMargins left="0.25" right="0.25" top="0.5" bottom="0.5" header="0.3" footer="0.3"/>
  <pageSetup scale="27"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323"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H10:DF26</xm:sqref>
        </x14:conditionalFormatting>
        <x14:conditionalFormatting xmlns:xm="http://schemas.microsoft.com/office/excel/2006/main">
          <x14:cfRule type="iconSet" priority="339"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H23:DF23</xm:sqref>
        </x14:conditionalFormatting>
        <x14:conditionalFormatting xmlns:xm="http://schemas.microsoft.com/office/excel/2006/main">
          <x14:cfRule type="iconSet" priority="291"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H24:DF24 H26:DF26</xm:sqref>
        </x14:conditionalFormatting>
        <x14:conditionalFormatting xmlns:xm="http://schemas.microsoft.com/office/excel/2006/main">
          <x14:cfRule type="iconSet" priority="299"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H25:DF25 H21:DF23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C5315E-9A69-4EEB-ACCD-0F886FBF12FB}">
  <ds:schemaRefs>
    <ds:schemaRef ds:uri="http://schemas.microsoft.com/sharepoint/v3/contenttype/forms"/>
  </ds:schemaRefs>
</ds:datastoreItem>
</file>

<file path=customXml/itemProps2.xml><?xml version="1.0" encoding="utf-8"?>
<ds:datastoreItem xmlns:ds="http://schemas.openxmlformats.org/officeDocument/2006/customXml" ds:itemID="{11AAADB5-F91F-44CE-8CB6-D8472D59D975}">
  <ds:schemaRefs>
    <ds:schemaRef ds:uri="http://purl.org/dc/terms/"/>
    <ds:schemaRef ds:uri="http://schemas.microsoft.com/office/2006/documentManagement/types"/>
    <ds:schemaRef ds:uri="http://schemas.microsoft.com/office/infopath/2007/PartnerControls"/>
    <ds:schemaRef ds:uri="http://schemas.microsoft.com/office/2006/metadata/properties"/>
    <ds:schemaRef ds:uri="http://schemas.openxmlformats.org/package/2006/metadata/core-properties"/>
    <ds:schemaRef ds:uri="http://purl.org/dc/dcmitype/"/>
    <ds:schemaRef ds:uri="http://www.w3.org/XML/1998/namespace"/>
    <ds:schemaRef ds:uri="http://purl.org/dc/elements/1.1/"/>
    <ds:schemaRef ds:uri="16c05727-aa75-4e4a-9b5f-8a80a1165891"/>
    <ds:schemaRef ds:uri="230e9df3-be65-4c73-a93b-d1236ebd677e"/>
    <ds:schemaRef ds:uri="71af3243-3dd4-4a8d-8c0d-dd76da1f02a5"/>
    <ds:schemaRef ds:uri="http://schemas.microsoft.com/sharepoint/v3"/>
  </ds:schemaRefs>
</ds:datastoreItem>
</file>

<file path=customXml/itemProps3.xml><?xml version="1.0" encoding="utf-8"?>
<ds:datastoreItem xmlns:ds="http://schemas.openxmlformats.org/officeDocument/2006/customXml" ds:itemID="{CF181E67-B5A5-4E32-9D0A-4494603D7B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Diagrama</vt:lpstr>
      <vt:lpstr>Diagrama!Print_Titles</vt:lpstr>
      <vt:lpstr>Diagrama!Project_Start</vt:lpstr>
      <vt:lpstr>Diagrama!Scrolling_Increment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2023-01-31T06:47:08Z</dcterms:created>
  <dcterms:modified xsi:type="dcterms:W3CDTF">2026-01-27T20:00:27Z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